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mnte\datumfi-web\"/>
    </mc:Choice>
  </mc:AlternateContent>
  <xr:revisionPtr revIDLastSave="0" documentId="13_ncr:1_{EF59562A-7FCC-449A-9E31-D2C82B59B347}" xr6:coauthVersionLast="47" xr6:coauthVersionMax="47" xr10:uidLastSave="{00000000-0000-0000-0000-000000000000}"/>
  <bookViews>
    <workbookView xWindow="-110" yWindow="-110" windowWidth="25820" windowHeight="15500" tabRatio="814" activeTab="1" xr2:uid="{00000000-000D-0000-FFFF-FFFF00000000}"/>
  </bookViews>
  <sheets>
    <sheet name="CLAUDE" sheetId="14" r:id="rId1"/>
    <sheet name="Terminology Reference" sheetId="30" r:id="rId2"/>
    <sheet name="SCREEN 3 — R2.B TENSION" sheetId="29" r:id="rId3"/>
    <sheet name="SCREEN 3 — R2.A AUTHORED COPY" sheetId="28" r:id="rId4"/>
    <sheet name="SCREEN 3 — COPY STRINGS" sheetId="19" r:id="rId5"/>
    <sheet name="SCREEN 2 — LANDING-AWARE L1" sheetId="27" r:id="rId6"/>
    <sheet name="SCREEN 2 — SHAPE+DATUM COMBOS" sheetId="26" r:id="rId7"/>
    <sheet name="SCREEN 2 — DATUM DRAG MATRIX" sheetId="25" r:id="rId8"/>
    <sheet name="SCREEN 1 — ML DIRECTION MATRIX" sheetId="24" r:id="rId9"/>
    <sheet name="Screen 2 Tension" sheetId="23" r:id="rId10"/>
    <sheet name="Screen 2 Constrait" sheetId="21" r:id="rId11"/>
    <sheet name="Screen 2 Ratio" sheetId="22" r:id="rId12"/>
    <sheet name="README" sheetId="1" r:id="rId13"/>
    <sheet name="BASE — ABUNDANT" sheetId="2" r:id="rId14"/>
    <sheet name="BASE — GROUNDED" sheetId="3" r:id="rId15"/>
    <sheet name="BASE — EXPANSIVE" sheetId="4" r:id="rId16"/>
    <sheet name="BASE — STRETCHED" sheetId="5" r:id="rId17"/>
    <sheet name="BASE — OVEREXTENDED" sheetId="6" r:id="rId18"/>
    <sheet name="PINNED — OVEREXTENDED" sheetId="7" r:id="rId19"/>
    <sheet name="PINNED — ABUNDANT" sheetId="9" r:id="rId20"/>
    <sheet name="PINNED — GROUNDED" sheetId="10" r:id="rId21"/>
    <sheet name="PINNED — EXPANSIVE" sheetId="11" r:id="rId22"/>
    <sheet name="PINNED — STRETCHED" sheetId="12" r:id="rId23"/>
    <sheet name="MULTI-LEVER PATTERNS" sheetId="8" r:id="rId24"/>
    <sheet name="LEVER MATH" sheetId="13" r:id="rId25"/>
    <sheet name="DESIGN — FEASIBILITY RULES" sheetId="15" r:id="rId26"/>
    <sheet name="DESIGN — COPY BLOCKS" sheetId="16" r:id="rId27"/>
    <sheet name="DESIGN — INVERSE MATH" sheetId="17" r:id="rId28"/>
    <sheet name="DESIGN — REVERSAL MATRIX" sheetId="18" r:id="rId29"/>
  </sheets>
  <externalReferences>
    <externalReference r:id="rId30"/>
  </externalReferences>
  <definedNames>
    <definedName name="grounded_header">'PINNED — GROUNDED'!A1:G3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30" l="1"/>
  <c r="D16" i="30"/>
  <c r="D15" i="30"/>
  <c r="D14" i="30"/>
  <c r="D13" i="30"/>
  <c r="D12" i="30"/>
  <c r="D11" i="30"/>
  <c r="D10" i="30"/>
  <c r="D9" i="30"/>
  <c r="D8" i="30"/>
  <c r="D7" i="30"/>
  <c r="D6" i="30"/>
</calcChain>
</file>

<file path=xl/sharedStrings.xml><?xml version="1.0" encoding="utf-8"?>
<sst xmlns="http://schemas.openxmlformats.org/spreadsheetml/2006/main" count="6434" uniqueCount="4073">
  <si>
    <t>SECTION 1 — FORWARD FORMULAS (REFERENCE)</t>
  </si>
  <si>
    <t>Variable</t>
  </si>
  <si>
    <t>Formula</t>
  </si>
  <si>
    <t>Notes</t>
  </si>
  <si>
    <t>—</t>
  </si>
  <si>
    <t>Y</t>
  </si>
  <si>
    <t>retireAge − currentAge</t>
  </si>
  <si>
    <t>Years to retirement</t>
  </si>
  <si>
    <t>gfHi</t>
  </si>
  <si>
    <t>(1.07)^Y</t>
  </si>
  <si>
    <t>Ceiling growth factor</t>
  </si>
  <si>
    <t>gfLo</t>
  </si>
  <si>
    <t>(1.035)^Y</t>
  </si>
  <si>
    <t>Floor growth factor</t>
  </si>
  <si>
    <t>ceilSpend</t>
  </si>
  <si>
    <t>((P × gfHi) + K × ((gfHi−1)/0.07)) × 0.055</t>
  </si>
  <si>
    <t>Ceiling spending power</t>
  </si>
  <si>
    <t>floorSpend</t>
  </si>
  <si>
    <t>((P × gfLo) + K × 0.5 × ((gfLo−1)/0.035)) × 0.035</t>
  </si>
  <si>
    <t>Floor spending power</t>
  </si>
  <si>
    <t>SECTION 2 — SENSITIVITY RATIOS (AT Y=10)</t>
  </si>
  <si>
    <t>Lever</t>
  </si>
  <si>
    <t>Ceiling Effect</t>
  </si>
  <si>
    <t>Floor Effect</t>
  </si>
  <si>
    <t>Ceil:Floor Ratio</t>
  </si>
  <si>
    <t>Portfolio (ΔP)</t>
  </si>
  <si>
    <t>gfHi × 0.055 per $1</t>
  </si>
  <si>
    <t>gfLo × 0.035 per $1</t>
  </si>
  <si>
    <t>≈ 2.19 : 1</t>
  </si>
  <si>
    <t>Contributions (ΔK)</t>
  </si>
  <si>
    <t>0.055×(gfHi−1)/0.07 per $1/yr</t>
  </si>
  <si>
    <t>0.5×(gfLo−1) per $1/yr</t>
  </si>
  <si>
    <t>≈ 3.70 : 1</t>
  </si>
  <si>
    <t>Retire Age (ΔY)</t>
  </si>
  <si>
    <t>Nonlinear — binary search required</t>
  </si>
  <si>
    <t>≈ 2.0 : 1 at Y=10</t>
  </si>
  <si>
    <t>SECTION 3 — SINGLE-TARGET CEILING INVERSION</t>
  </si>
  <si>
    <t>Approach</t>
  </si>
  <si>
    <t>Solve For</t>
  </si>
  <si>
    <t>Floor Side Effect</t>
  </si>
  <si>
    <t>Portfolio lever</t>
  </si>
  <si>
    <t>ΔP</t>
  </si>
  <si>
    <t>ΔP = ΔceilTarget / (gfHi × 0.055)</t>
  </si>
  <si>
    <t>ΔfloorSide = ΔP × gfLo × 0.035</t>
  </si>
  <si>
    <t>Contributions lever</t>
  </si>
  <si>
    <t>ΔK</t>
  </si>
  <si>
    <t>ΔK = ΔceilTarget / (0.055 × (gfHi−1) / 0.07)</t>
  </si>
  <si>
    <t>ΔfloorSide = ΔK × 0.5 × (gfLo−1)</t>
  </si>
  <si>
    <t>Retire Age lever</t>
  </si>
  <si>
    <t>ΔY</t>
  </si>
  <si>
    <t>Binary search: bisect Y until computed ceil = target</t>
  </si>
  <si>
    <t>Report new floor at solved Y</t>
  </si>
  <si>
    <t>Actionability rank</t>
  </si>
  <si>
    <t>Recommended order: 1. Contributions 2. Portfolio 3. Retire Age</t>
  </si>
  <si>
    <t>SECTION 4 — SINGLE-TARGET FLOOR INVERSION</t>
  </si>
  <si>
    <t>Ceiling Side Effect</t>
  </si>
  <si>
    <t>ΔP = ΔfloorTarget / (gfLo × 0.035)</t>
  </si>
  <si>
    <t>ΔceilSide = ΔP × gfHi × 0.055</t>
  </si>
  <si>
    <t>ΔK = ΔfloorTarget / (0.5 × (gfLo−1))</t>
  </si>
  <si>
    <t>ΔceilSide = ΔK × 0.055 × (gfHi−1) / 0.07</t>
  </si>
  <si>
    <t>Binary search: bisect Y until computed floor = target</t>
  </si>
  <si>
    <t>Report new ceiling at solved Y</t>
  </si>
  <si>
    <t>SECTION 5 — DUAL-TARGET CRAMER'S RULE (CEILING + FLOOR DRAGGED)</t>
  </si>
  <si>
    <t>Definition</t>
  </si>
  <si>
    <t>Value at Y=10</t>
  </si>
  <si>
    <t>a1</t>
  </si>
  <si>
    <t>gfHi × 0.055</t>
  </si>
  <si>
    <t>≈ 0.1081</t>
  </si>
  <si>
    <t>Ceiling sensitivity to ΔP</t>
  </si>
  <si>
    <t>b1</t>
  </si>
  <si>
    <t>0.055 × (gfHi−1) / 0.07</t>
  </si>
  <si>
    <t>≈ 0.7869</t>
  </si>
  <si>
    <t>Ceiling sensitivity to ΔK</t>
  </si>
  <si>
    <t>a2</t>
  </si>
  <si>
    <t>gfLo × 0.035</t>
  </si>
  <si>
    <t>≈ 0.0494</t>
  </si>
  <si>
    <t>Floor sensitivity to ΔP</t>
  </si>
  <si>
    <t>b2</t>
  </si>
  <si>
    <t>0.5 × (gfLo−1)</t>
  </si>
  <si>
    <t>≈ 0.2133</t>
  </si>
  <si>
    <t>Floor sensitivity to ΔK</t>
  </si>
  <si>
    <t>dc</t>
  </si>
  <si>
    <t>ceilTarget − ceilCurrent</t>
  </si>
  <si>
    <t>User drag delta (ceiling)</t>
  </si>
  <si>
    <t>Input</t>
  </si>
  <si>
    <t>df</t>
  </si>
  <si>
    <t>floorTarget − floorCurrent</t>
  </si>
  <si>
    <t>User drag delta (floor)</t>
  </si>
  <si>
    <t>det</t>
  </si>
  <si>
    <t>a1×b2 − a2×b1</t>
  </si>
  <si>
    <t>≈ 0.0842</t>
  </si>
  <si>
    <t>Must be non-zero (feasibility check)</t>
  </si>
  <si>
    <t>(dc×b2 − df×b1) / det</t>
  </si>
  <si>
    <t>Portfolio change required</t>
  </si>
  <si>
    <t>(df×a1 − dc×a2) / det</t>
  </si>
  <si>
    <t>Annual contributions change required</t>
  </si>
  <si>
    <t>SECTION 6 — Y=0 SPECIAL CASE (RETIRE TODAY)</t>
  </si>
  <si>
    <t>Condition</t>
  </si>
  <si>
    <t>Result</t>
  </si>
  <si>
    <t>gfHi at Y=0</t>
  </si>
  <si>
    <t>1.0 (no growth)</t>
  </si>
  <si>
    <t>(1.07)^0 = 1</t>
  </si>
  <si>
    <t>Contributions term collapses to zero</t>
  </si>
  <si>
    <t>gfLo at Y=0</t>
  </si>
  <si>
    <t>(1.035)^0 = 1</t>
  </si>
  <si>
    <t>Same collapse</t>
  </si>
  <si>
    <t>ceilNow</t>
  </si>
  <si>
    <t>P × 0.055</t>
  </si>
  <si>
    <t>Portfolio only</t>
  </si>
  <si>
    <t>Contributions have no effect at Y=0</t>
  </si>
  <si>
    <t>floorNow</t>
  </si>
  <si>
    <t>P × 0.035</t>
  </si>
  <si>
    <t>Only lever</t>
  </si>
  <si>
    <t>ΔP = target / rate</t>
  </si>
  <si>
    <t>Sole actionable lever when Y=0</t>
  </si>
  <si>
    <t>SECTION 7 — SENSITIVITY TABLE BY RETIREMENT HORIZON</t>
  </si>
  <si>
    <t>Y (Years)</t>
  </si>
  <si>
    <t>Ceil:Floor Ratio (Portfolio)</t>
  </si>
  <si>
    <t>5</t>
  </si>
  <si>
    <t>1.4026</t>
  </si>
  <si>
    <t>1.1877</t>
  </si>
  <si>
    <t>2.38:1</t>
  </si>
  <si>
    <t>5.21:1</t>
  </si>
  <si>
    <t>10</t>
  </si>
  <si>
    <t>1.9672</t>
  </si>
  <si>
    <t>1.4106</t>
  </si>
  <si>
    <t>2.19:1</t>
  </si>
  <si>
    <t>3.70:1</t>
  </si>
  <si>
    <t>15</t>
  </si>
  <si>
    <t>2.7590</t>
  </si>
  <si>
    <t>1.6753</t>
  </si>
  <si>
    <t>2.05:1</t>
  </si>
  <si>
    <t>2.85:1</t>
  </si>
  <si>
    <t>20</t>
  </si>
  <si>
    <t>3.8697</t>
  </si>
  <si>
    <t>1.9898</t>
  </si>
  <si>
    <t>1.93:1</t>
  </si>
  <si>
    <t>2.29:1</t>
  </si>
  <si>
    <t>25</t>
  </si>
  <si>
    <t>5.4274</t>
  </si>
  <si>
    <t>2.3632</t>
  </si>
  <si>
    <t>1.82:1</t>
  </si>
  <si>
    <t>1.91:1</t>
  </si>
  <si>
    <t>30</t>
  </si>
  <si>
    <t>7.6123</t>
  </si>
  <si>
    <t>2.8068</t>
  </si>
  <si>
    <t>1.72:1</t>
  </si>
  <si>
    <t>1.63:1</t>
  </si>
  <si>
    <t>SECTION 8 — BINARY SEARCH SPEC (RETIREMENT AGE LEVER)</t>
  </si>
  <si>
    <t>Step</t>
  </si>
  <si>
    <t>Action</t>
  </si>
  <si>
    <t>Detail</t>
  </si>
  <si>
    <t>1</t>
  </si>
  <si>
    <t>Initialize bounds</t>
  </si>
  <si>
    <t>lo = currentAge + 1, hi = currentAge + 50</t>
  </si>
  <si>
    <t>Bracket the search space</t>
  </si>
  <si>
    <t>2</t>
  </si>
  <si>
    <t>Midpoint</t>
  </si>
  <si>
    <t>mid = Math.floor((lo + hi) / 2)</t>
  </si>
  <si>
    <t>Integer years only</t>
  </si>
  <si>
    <t>3</t>
  </si>
  <si>
    <t>Compute</t>
  </si>
  <si>
    <t>Run forward formulas at Y = mid − currentAge</t>
  </si>
  <si>
    <t>Full ceilSpend / floorSpend</t>
  </si>
  <si>
    <t>4</t>
  </si>
  <si>
    <t>Compare</t>
  </si>
  <si>
    <t>If computed &gt; target: hi = mid; else lo = mid</t>
  </si>
  <si>
    <t>Bisect toward target</t>
  </si>
  <si>
    <t>Converge</t>
  </si>
  <si>
    <t>Repeat until |computed − target| &lt; $500 or 50 iterations</t>
  </si>
  <si>
    <t>Report solved Y and side effect</t>
  </si>
  <si>
    <t>SECTION 9 — DATUM-DRAG-ONLY (NO INVERSE MATH)</t>
  </si>
  <si>
    <t>Trigger</t>
  </si>
  <si>
    <t>Block Used</t>
  </si>
  <si>
    <t>User drags only the Datum bar</t>
  </si>
  <si>
    <t>Re-run state detection with new datum vs existing ceil/floor</t>
  </si>
  <si>
    <t>Block E</t>
  </si>
  <si>
    <t>No lever math needed — just re-classify</t>
  </si>
  <si>
    <t>New state detected</t>
  </si>
  <si>
    <t>Render new Shape State copy (ABUNDANT / GROUNDED / etc.)</t>
  </si>
  <si>
    <t>Standard state copy</t>
  </si>
  <si>
    <t>Ceiling and floor are unchanged</t>
  </si>
  <si>
    <t>No lever suggestions</t>
  </si>
  <si>
    <t>Datum drag does not change shape endpoints</t>
  </si>
  <si>
    <t>Copy explains new position only</t>
  </si>
  <si>
    <t>DATUM FI — COPY SYSTEM ARCHITECTURE</t>
  </si>
  <si>
    <t>OVERVIEW</t>
  </si>
  <si>
    <t>This workbook documents the complete copy system for Datum FI’s Sketch tool. It covers two systems: (1) Base State Copy — the copy shown when a user’s spending target lands in a given state. (2) Pinned Comparison Copy — the copy shown when a user pins a scenario and compares it to a new position by moving levers.</t>
  </si>
  <si>
    <t>STATE ORDER</t>
  </si>
  <si>
    <t>State</t>
  </si>
  <si>
    <t>Trigger Condition</t>
  </si>
  <si>
    <t>Sub-zones</t>
  </si>
  <si>
    <t>ABUNDANT</t>
  </si>
  <si>
    <t>spending &lt; floor × 0.85</t>
  </si>
  <si>
    <t>JUST_BELOW (ratio 0.75–0.85) / WELL_BELOW (ratio &lt;0.75)</t>
  </si>
  <si>
    <t>GROUNDED</t>
  </si>
  <si>
    <t>floor × 0.85 ≤ spending ≤ floor × 1.15</t>
  </si>
  <si>
    <t>TIGHT (groundRatio &lt;0.05) / STABLE (≥0.05)</t>
  </si>
  <si>
    <t>EXPANSIVE</t>
  </si>
  <si>
    <t>floor × 1.15 &lt; spending &lt; ceil × 0.85</t>
  </si>
  <si>
    <t>FLOOR_SIDE (position &lt;0.33) / CENTERED (0.33–0.67) / CEILING_SIDE (&gt;0.67)</t>
  </si>
  <si>
    <t>STRETCHED</t>
  </si>
  <si>
    <t>ceil × 0.85 ≤ spending &lt; ceil</t>
  </si>
  <si>
    <t>STANDARD (stretchRatio &lt;0.93) / HIGH_END (≥0.93)</t>
  </si>
  <si>
    <t>OVEREXTENDED</t>
  </si>
  <si>
    <t>spending ≥ ceil</t>
  </si>
  <si>
    <t>ENTRY (overRatio &lt;0.15) / STRUCTURAL (≥0.15)</t>
  </si>
  <si>
    <t>KEY VARIABLES</t>
  </si>
  <si>
    <t>Description</t>
  </si>
  <si>
    <t>span</t>
  </si>
  <si>
    <t>ceilSpend - floorSpend</t>
  </si>
  <si>
    <t>Total width of the shape</t>
  </si>
  <si>
    <t>position</t>
  </si>
  <si>
    <t>(spending - floorSpend) / span</t>
  </si>
  <si>
    <t>Where spending sits inside shape (0=floor, 1=ceiling)</t>
  </si>
  <si>
    <t>groundRatio</t>
  </si>
  <si>
    <t>(spending - floorSpend) / floorSpend</t>
  </si>
  <si>
    <t>How far above floor (GROUNDED)</t>
  </si>
  <si>
    <t>stretchRatio</t>
  </si>
  <si>
    <t>spending / ceilSpend</t>
  </si>
  <si>
    <t>How close to ceiling (STRETCHED)</t>
  </si>
  <si>
    <t>overRatio</t>
  </si>
  <si>
    <t>(spending - ceilSpend) / ceilSpend</t>
  </si>
  <si>
    <t>How far above ceiling (OVEREXTENDED)</t>
  </si>
  <si>
    <t>gapToCeil</t>
  </si>
  <si>
    <t>max(0, ceilSpend - spending)</t>
  </si>
  <si>
    <t>Dollar gap to ceiling</t>
  </si>
  <si>
    <t>gapToFloor</t>
  </si>
  <si>
    <t>spending &gt; floorSpend ? spending - floorSpend : 0</t>
  </si>
  <si>
    <t>Dollar gap to floor</t>
  </si>
  <si>
    <t>aboveCeil</t>
  </si>
  <si>
    <t>max(0, spending - ceilSpend)</t>
  </si>
  <si>
    <t>Dollar amount above ceiling</t>
  </si>
  <si>
    <t>floorAboveSpend</t>
  </si>
  <si>
    <t>max(0, floorSpend - spending)</t>
  </si>
  <si>
    <t>Dollar amount floor is above spending (ABUNDANT)</t>
  </si>
  <si>
    <t>ASSEMBLY RULE</t>
  </si>
  <si>
    <t>Each copy block has three components assembled at render time:</t>
  </si>
  <si>
    <t>1. WHAT IT MEANS — State transition sentence + Lever mechanism sentence (pinned mode only)</t>
  </si>
  <si>
    <t>2. WHAT TO CONSIDER — Action based on resulting state and available room</t>
  </si>
  <si>
    <t>3. STUDIO LINE — Lever-specific Studio prompt</t>
  </si>
  <si>
    <t>All dollar values use fmtK() formatting. Live variables in curly braces {like this} are injected at render time.</t>
  </si>
  <si>
    <t>COLOR CODING IN THIS WORKBOOK</t>
  </si>
  <si>
    <t>Navy header = section title. Gold fill = ceiling-related copy. Red fill = floor-related copy. Teal fill = spending/datum copy. White/warm = standard copy.</t>
  </si>
  <si>
    <t>NAVY — section titles / headers</t>
  </si>
  <si>
    <t>GOLD — ceiling-related copy</t>
  </si>
  <si>
    <t>RED — floor-related copy</t>
  </si>
  <si>
    <t>TEAL — spending/datum copy</t>
  </si>
  <si>
    <t>WARM — standard copy</t>
  </si>
  <si>
    <t>BASE STATE COPY — ABUNDANT</t>
  </si>
  <si>
    <t>Trigger: spending &lt; floor × 0.85 | The plan projects more than the user is asking for, even under its most conservative assumptions. Two sub-zones: JUST_BELOW (abundantRatio 0.75–0.85) and WELL_BELOW (abundantRatio &lt; 0.75).</t>
  </si>
  <si>
    <t>Sub-Zone</t>
  </si>
  <si>
    <t>Copy Block</t>
  </si>
  <si>
    <t>Copy Text</t>
  </si>
  <si>
    <t>ALL</t>
  </si>
  <si>
    <t>WHAT IT MEANS — Para 1</t>
  </si>
  <si>
    <t>WHAT IT MEANS — Para 2</t>
  </si>
  <si>
    <t>WHAT TO CONSIDER</t>
  </si>
  <si>
    <t>Standard action.</t>
  </si>
  <si>
    <t>STUDIO LINE</t>
  </si>
  <si>
    <t>Standard Studio CTA.</t>
  </si>
  <si>
    <t>JUST_BELOW</t>
  </si>
  <si>
    <t>WHAT IT MEANS — Para 1 (swap)</t>
  </si>
  <si>
    <t>WELL_BELOW</t>
  </si>
  <si>
    <t>SUB-ZONE LOGIC (JS)</t>
  </si>
  <si>
    <t>const abundantRatio = spending / floorSpend;    const JUST_BELOW = abundantRatio &gt;= 0.75;    const WELL_BELOW = abundantRatio &lt; 0.75;</t>
  </si>
  <si>
    <t>Code reference for developer.</t>
  </si>
  <si>
    <t>KEY INSIGHT</t>
  </si>
  <si>
    <t>The ABUNDANT paradox: in pinned comparison mode, positive inputs (more portfolio, more contributions, more time) raise the floor further above the spending target — deepening the ABUNDANT position rather than improving it. The only escapes without moving spending are: lower portfolio, lower contributions, or fewer years to retirement.</t>
  </si>
  <si>
    <t>Designer/developer note.</t>
  </si>
  <si>
    <t>BASE STATE COPY — GROUNDED</t>
  </si>
  <si>
    <t>Trigger: floor × 0.85 ≤ spending ≤ floor × 1.15 | The spending target sits close to the floor of the shape. Two sub-zones: TIGHT (groundRatio &lt; 0.05 — datum is very close to the floor line) and STABLE (groundRatio ≥ 0.05 — datum has a small but clear gap above the floor).</t>
  </si>
  <si>
    <t>STABLE</t>
  </si>
  <si>
    <t>Use when groundRatio &gt;= 0.05.</t>
  </si>
  <si>
    <t>STABLE sub-zone.</t>
  </si>
  <si>
    <t>TIGHT</t>
  </si>
  <si>
    <t>Use when groundRatio &lt; 0.05. Swaps Para 1 only; Para 2, Consider, Studio unchanged.</t>
  </si>
  <si>
    <t>Same for both sub-zones.</t>
  </si>
  <si>
    <t>const groundRatio = (spending - floorSpend) / floorSpend;    const TIGHT = groundRatio &lt; 0.05;    const STABLE = groundRatio &gt;= 0.05;</t>
  </si>
  <si>
    <t>GROUNDED TIGHT paradox: in pinned comparison mode, positive inputs (more portfolio, more contributions, more time) can push the floor higher and DEEPEN the GROUNDED position — or push the datum below the floor entirely into ABUNDANT. Copy for TIGHT pinned comparisons must name this paradox explicitly. STABLE pinned comparisons are generally straightforward directional movement.</t>
  </si>
  <si>
    <t>BASE STATE COPY — EXPANSIVE</t>
  </si>
  <si>
    <t>Trigger: floor × 1.15 &lt; spending &lt; ceil × 0.85 | The spending target sits inside the shape with clear space above and below. Three sub-zones based on position ratio: FLOOR_SIDE (position &lt; 0.33), CENTERED (position 0.33–0.67), CEILING_SIDE (position &gt; 0.67). Position = (spending − floor) / (ceil − floor).</t>
  </si>
  <si>
    <t>FLOOR_SIDE</t>
  </si>
  <si>
    <t>Use when position &lt; 0.33.</t>
  </si>
  <si>
    <t>FLOOR_SIDE sub-zone.</t>
  </si>
  <si>
    <t>FLOOR_SIDE action.</t>
  </si>
  <si>
    <t>CENTERED</t>
  </si>
  <si>
    <t>Use when position 0.33–0.67.</t>
  </si>
  <si>
    <t>CENTERED sub-zone.</t>
  </si>
  <si>
    <t>CENTERED action.</t>
  </si>
  <si>
    <t>CEILING_SIDE</t>
  </si>
  <si>
    <t>Use when position &gt; 0.67.</t>
  </si>
  <si>
    <t>CEILING_SIDE sub-zone.</t>
  </si>
  <si>
    <t>CEILING_SIDE action.</t>
  </si>
  <si>
    <t>Same Studio CTA for all sub-zones.</t>
  </si>
  <si>
    <t>const position = (spending - floorSpend) / (ceilSpend - floorSpend);    const FLOOR_SIDE = position &lt; 0.33;    const CENTERED = position &gt;= 0.33 &amp;&amp; position &lt;= 0.67;    const CEILING_SIDE = position &gt; 0.67;</t>
  </si>
  <si>
    <t>EXPANSIVE has three distinct Para 1 + Para 2 variants, one per sub-zone. Para 1 and Para 2 both swap. The What to Consider block also has sub-zone variants. The Studio Line is shared. In pinned comparison, FLOOR_SIDE is subject to a paradox when portfolio/contributions/retirement age increase — the floor can rise and push the datum toward GROUNDED or ABUNDANT even though the shape grew.</t>
  </si>
  <si>
    <t>BASE STATE COPY — STRETCHED</t>
  </si>
  <si>
    <t>Trigger: ceil × 0.85 ≤ spending &lt; ceil | The spending target is near the top of the shape, between 85% and 100% of the ceiling. Two sub-zones: STANDARD (stretchRatio &lt; 0.93) and HIGH_END (stretchRatio ≥ 0.93). stretchRatio = spending / ceilSpend.</t>
  </si>
  <si>
    <t>STANDARD</t>
  </si>
  <si>
    <t>Use when stretchRatio &lt; 0.93. Row height 80.</t>
  </si>
  <si>
    <t>HIGH_END</t>
  </si>
  <si>
    <t>Use when stretchRatio ≥ 0.93. Swaps Para 1 only. Row height 70.</t>
  </si>
  <si>
    <t>Shared by STANDARD and HIGH_END.</t>
  </si>
  <si>
    <t>const stretchRatio = spending / ceilSpend;    const STANDARD = stretchRatio &lt; 0.93;    const HIGH_END = stretchRatio &gt;= 0.93;</t>
  </si>
  <si>
    <t>STRETCHED is a narrow window (15% of the shape range, from 85% to 100% of ceiling). Para 1 swaps between STANDARD and HIGH_END — HIGH_END signals a near-ceiling position with sharper language about proximity. Para 2, What to Consider, and Studio Line are shared across both sub-zones. In pinned comparison, STRETCHED is the last state before OVEREXTENDED — any upward spending movement crosses the ceiling.</t>
  </si>
  <si>
    <t>BASE STATE COPY — OVEREXTENDED</t>
  </si>
  <si>
    <t>Trigger: spending &gt;= ceil | Datum is above the ceiling — outside the shape. Sub-zones: ENTRY (overRatio &lt; 0.15) and STRUCTURAL (overRatio &gt;= 0.15). Formula: overRatio = (spending - ceilSpend) / ceilSpend. UI caps Ceiling Tension bar at 100% above ceiling.</t>
  </si>
  <si>
    <t>ENTRY</t>
  </si>
  <si>
    <t>WHAT IT MEANS Para 1</t>
  </si>
  <si>
    <t>Use when overRatio &lt; 0.15</t>
  </si>
  <si>
    <t>STRUCTURAL</t>
  </si>
  <si>
    <t>WHAT IT MEANS Para 1 (swap)</t>
  </si>
  <si>
    <t>Use when overRatio &gt;= 0.15. Swaps Para 1 only.</t>
  </si>
  <si>
    <t>WHAT IT MEANS Para 2</t>
  </si>
  <si>
    <t>Shared across both sub-zones.</t>
  </si>
  <si>
    <t>const overRatio = (spending - ceilSpend) / ceilSpend;  const ENTRY = overRatio &lt; 0.15;  const STRUCTURAL = overRatio &gt;= 0.15;  // UI caps Ceiling Tension bar at 100% above ceiling</t>
  </si>
  <si>
    <t>Code reference.</t>
  </si>
  <si>
    <t>OVEREXTENDED is the only state where the datum is fully outside the shape. Para 1 swaps: ENTRY uses softer gap language, STRUCTURAL uses stronger gap language. Para 2, What to Consider, and Studio Line are shared. Pinned comparison copy must name the gap in dollars and identify which lever has the most closing power at the user's specific inputs.</t>
  </si>
  <si>
    <t>PINNED COMPARISON — STARTING FROM OVEREXTENDED</t>
  </si>
  <si>
    <t>Pinned: spending &gt;= pinnedCeil | ENTRY overRatio &lt;0.15 / STRUCTURAL &gt;=0.15. Spending sits above the ceiling — no version of the plan currently carries this level. Positive inputs (more capital, time, contributions) raise the ceiling toward spending. Spending DOWN closes the gap from the other direction. The goal of comparison: find which lever closes the gap fastest, or find the spending level the plan can actually carry.</t>
  </si>
  <si>
    <t>Case ID</t>
  </si>
  <si>
    <t>Direction</t>
  </si>
  <si>
    <t>Resulting State</t>
  </si>
  <si>
    <t>What it Means</t>
  </si>
  <si>
    <t>What to Consider</t>
  </si>
  <si>
    <t>Studio Line</t>
  </si>
  <si>
    <t>OE.0</t>
  </si>
  <si>
    <t>ANY</t>
  </si>
  <si>
    <t>No movement</t>
  </si>
  <si>
    <t>OE.S.1</t>
  </si>
  <si>
    <t>SPENDING</t>
  </si>
  <si>
    <t>DOWN — still OVEREXTENDED (gap narrowed)</t>
  </si>
  <si>
    <t>OE.S.2</t>
  </si>
  <si>
    <t>DOWN — crossed to STRETCHED</t>
  </si>
  <si>
    <t>OE.S.3</t>
  </si>
  <si>
    <t>DOWN — crossed to EXPANSIVE</t>
  </si>
  <si>
    <t>OE.S.4</t>
  </si>
  <si>
    <t>DOWN — crossed to GROUNDED</t>
  </si>
  <si>
    <t>OE.S.5</t>
  </si>
  <si>
    <t>DOWN — crossed to ABUNDANT</t>
  </si>
  <si>
    <t>OE.S.6</t>
  </si>
  <si>
    <t>UP — deeper OVEREXTENDED</t>
  </si>
  <si>
    <t>OE.P.1</t>
  </si>
  <si>
    <t>PORTFOLIO</t>
  </si>
  <si>
    <t>UP — still OVEREXTENDED (gap narrowed)</t>
  </si>
  <si>
    <t>OE.P.2</t>
  </si>
  <si>
    <t>UP — crossed to STRETCHED</t>
  </si>
  <si>
    <t>OE.P.3</t>
  </si>
  <si>
    <t>UP — crossed to EXPANSIVE</t>
  </si>
  <si>
    <t>OE.P.4</t>
  </si>
  <si>
    <t>DOWN — deeper OVEREXTENDED</t>
  </si>
  <si>
    <t>OE.R.1</t>
  </si>
  <si>
    <t>RETIRE AGE</t>
  </si>
  <si>
    <t>LATER — still OVEREXTENDED (gap narrowed)</t>
  </si>
  <si>
    <t>OE.R.2</t>
  </si>
  <si>
    <t>LATER — crossed to STRETCHED</t>
  </si>
  <si>
    <t>OE.R.3</t>
  </si>
  <si>
    <t>LATER — crossed to EXPANSIVE</t>
  </si>
  <si>
    <t>OE.R.4</t>
  </si>
  <si>
    <t>EARLIER — deeper OVEREXTENDED</t>
  </si>
  <si>
    <t>OE.C.1</t>
  </si>
  <si>
    <t>CONTRIBUTIONS</t>
  </si>
  <si>
    <t>UP — gap narrowed or crossed</t>
  </si>
  <si>
    <t>OVEREXTENDED or STRETCHED</t>
  </si>
  <si>
    <t>OE.C.2</t>
  </si>
  <si>
    <t>OE.C.3</t>
  </si>
  <si>
    <t>OE.A.1</t>
  </si>
  <si>
    <t>CURRENT AGE</t>
  </si>
  <si>
    <t>YOUNGER — mirrors Retire Later</t>
  </si>
  <si>
    <t>OVEREXTENDED or STRETCHED or EXPANSIVE</t>
  </si>
  <si>
    <t>OE.A.2</t>
  </si>
  <si>
    <t>OLDER — deeper OVEREXTENDED</t>
  </si>
  <si>
    <t>ASSEMBLY NOTE: ENTRY (overRatio &lt;0.15) rows use language that names the gap as closeable with a single lever. STRUCTURAL (overRatio &gt;=0.15) rows use language that names the gap as significant and likely requiring multiple levers or a spending recalibration. Retirement age and portfolio are the most powerful ceiling levers. All {curly brace values} injected at render time from JS variables. What it Means = State Transition + Lever Mechanism sentences.</t>
  </si>
  <si>
    <t>MULTI-LEVER PATTERNS — Common Combinations by Starting State</t>
  </si>
  <si>
    <t>Use when primary lever accounts for less than 70% of total impact. Prepend secondary lever sentence, then render single-lever block for resulting state. AMPLIFIED = both levers move shape same direction. OFFSET = levers oppose each other.</t>
  </si>
  <si>
    <t>Starting State</t>
  </si>
  <si>
    <t>Primary Lever</t>
  </si>
  <si>
    <t>Secondary Lever</t>
  </si>
  <si>
    <t>Combined Direction</t>
  </si>
  <si>
    <t>Typical Resulting State</t>
  </si>
  <si>
    <t>Notes / Why This Combo Matters</t>
  </si>
  <si>
    <t>FROM ABUNDANT</t>
  </si>
  <si>
    <t>Spending Up</t>
  </si>
  <si>
    <t>Portfolio Down</t>
  </si>
  <si>
    <t>AMPLIFIED</t>
  </si>
  <si>
    <t>GROUNDED or EXPANSIVE</t>
  </si>
  <si>
    <t>Fastest exit from ABUNDANT. Datum rises while floor drops — gap closes from both sides simultaneously.</t>
  </si>
  <si>
    <t>Retire Earlier</t>
  </si>
  <si>
    <t>Shape compresses as datum rises. Both forces close the spending-to-floor gap quickly.</t>
  </si>
  <si>
    <t>Portfolio Up</t>
  </si>
  <si>
    <t>Retire Later</t>
  </si>
  <si>
    <t>AMPLIFIED (paradox)</t>
  </si>
  <si>
    <t>Deeper ABUNDANT</t>
  </si>
  <si>
    <t>Both levers raise floor above datum — strongest paradox combination. Spending headroom widens dramatically.</t>
  </si>
  <si>
    <t>Contributions Up</t>
  </si>
  <si>
    <t>Two positive inputs both lift the floor further above datum. Paradox deepens — more capacity, same lifestyle.</t>
  </si>
  <si>
    <t>Contributions Down</t>
  </si>
  <si>
    <t>Lower contributions compress floor while datum rises. Both forces close the gap toward shape entry.</t>
  </si>
  <si>
    <t>FROM GROUNDED</t>
  </si>
  <si>
    <t>EXPANSIVE or STRETCHED</t>
  </si>
  <si>
    <t>Quick transition out of GROUNDED. Datum climbs as floor falls — position shifts into shape interior fast.</t>
  </si>
  <si>
    <t>Shape compression and rising datum work together. Faster path to upper states than spending alone.</t>
  </si>
  <si>
    <t>GROUNDED (TIGHT)</t>
  </si>
  <si>
    <t>In TIGHT sub-zone floor is very close to datum. Both levers raise floor above datum — crosses into ABUNDANT.</t>
  </si>
  <si>
    <t>Two ceiling-lifting levers in TIGHT sub-zone almost certainly push floor past datum into ABUNDANT.</t>
  </si>
  <si>
    <t>Spending Down</t>
  </si>
  <si>
    <t>OFFSET</t>
  </si>
  <si>
    <t>Opposing forces both move toward surplus. Datum falls while floor rises — can push below floor into ABUNDANT.</t>
  </si>
  <si>
    <t>FROM EXPANSIVE</t>
  </si>
  <si>
    <t>STRETCHED or OVEREXTENDED</t>
  </si>
  <si>
    <t>Fastest path to upper pressure. Datum rises while ceiling drops — gap closes from both sides.</t>
  </si>
  <si>
    <t>Shape compression plus rising datum. Ceiling approaches datum quickly from above and below.</t>
  </si>
  <si>
    <t>GROUNDED or ABUNDANT</t>
  </si>
  <si>
    <t>Datum falls while floor rises — can reach GROUNDED or cross below into ABUNDANT paradox.</t>
  </si>
  <si>
    <t>GROUNDED or deeper EXPANSIVE</t>
  </si>
  <si>
    <t>Datum falls while shape expands. Likely stays EXPANSIVE but shifts to FLOOR_SIDE. Can reach GROUNDED.</t>
  </si>
  <si>
    <t>EXPANSIVE (FLOOR_SIDE)</t>
  </si>
  <si>
    <t>AMPLIFIED (paradox risk)</t>
  </si>
  <si>
    <t>In FLOOR_SIDE, floor is close to datum. Two expansion levers can push floor past datum — paradox into GROUNDED or ABUNDANT.</t>
  </si>
  <si>
    <t>Both compression levers work together. Ceiling drops fast — datum may cross into STRETCHED without moving at all.</t>
  </si>
  <si>
    <t>FROM STRETCHED</t>
  </si>
  <si>
    <t>Strongest relief combo from STRETCHED. Datum retreats while ceiling rises — fast transition into EXPANSIVE.</t>
  </si>
  <si>
    <t>More time compounds ceiling upward while datum retreats — effective pressure release without portfolio change.</t>
  </si>
  <si>
    <t>Datum crosses ceiling while ceiling drops — fast entry into structural gap. Both forces worsen position.</t>
  </si>
  <si>
    <t>Shape compression plus rising datum. Ceiling may drop below datum in a single combined move.</t>
  </si>
  <si>
    <t>STRETCHED (HIGH_END)</t>
  </si>
  <si>
    <t>EXPANSIVE centered</t>
  </si>
  <si>
    <t>In HIGH_END, ceiling is very close above datum. Two expansion levers lift ceiling meaningfully — moves into mid-EXPANSIVE.</t>
  </si>
  <si>
    <t>FROM OVEREXTENDED</t>
  </si>
  <si>
    <t>STRETCHED or EXPANSIVE</t>
  </si>
  <si>
    <t>Strongest gap-closing combo. Datum falls toward ceiling while ceiling rises — most efficient exit from OVEREXTENDED.</t>
  </si>
  <si>
    <t>Retire later is the strongest ceiling lever. Pairing with spending reduction maximizes gap closure speed.</t>
  </si>
  <si>
    <t>OVEREXTENDED (ENTRY)</t>
  </si>
  <si>
    <t>In ENTRY sub-zone gap is small. Two ceiling-lifting levers together can cross datum into STRETCHED quickly.</t>
  </si>
  <si>
    <t>Deep OVEREXTENDED</t>
  </si>
  <si>
    <t>Ceiling collapses doubly. Gap between datum and ceiling grows fast — Ceiling Tension bar fills rapidly.</t>
  </si>
  <si>
    <t>Deeper OVEREXTENDED</t>
  </si>
  <si>
    <t>Worst-case combo. Datum rises further above dropping ceiling — Ceiling Tension bar approaches maximum fill.</t>
  </si>
  <si>
    <t>OVEREXTENDED (STRUCTURAL)</t>
  </si>
  <si>
    <t>In STRUCTURAL, large moves needed. Retire later is most powerful lever — pairing with contributions maximizes ceiling lift.</t>
  </si>
  <si>
    <t>ASSEMBLY NOTE: Always identify starting sub-zone (FLOOR_SIDE, TIGHT, HIGH_END, ENTRY, STRUCTURAL) before selecting a pattern row — sub-zone determines paradox risk and typical resulting state. When in doubt, render single-lever block and omit the multi-lever sentence.</t>
  </si>
  <si>
    <t>PINNED — ABUNDANT: Comparison Copy Matrix</t>
  </si>
  <si>
    <t>Pinned from: ABUNDANT (spending &lt; floor × 0.85). Datum sits below the Survival Floor. Positive inputs (portfolio↑, contributions↑, time↑) DEEPEN the gap via paradox — the Floor rises faster than the Datum.</t>
  </si>
  <si>
    <t>Direction / Resulting State</t>
  </si>
  <si>
    <t>ABU-01</t>
  </si>
  <si>
    <t>Datum Spend</t>
  </si>
  <si>
    <t>↑ Small → ABUNDANT</t>
  </si>
  <si>
    <t>ABU-02</t>
  </si>
  <si>
    <t>↑ Medium → GROUNDED</t>
  </si>
  <si>
    <t>ABU-03</t>
  </si>
  <si>
    <t>↑ Large → EXPANSIVE</t>
  </si>
  <si>
    <t>ABU-04</t>
  </si>
  <si>
    <t>↑ Very Large → STRETCHED</t>
  </si>
  <si>
    <t>ABU-05</t>
  </si>
  <si>
    <t>↑ Extreme → OVEREXTENDED</t>
  </si>
  <si>
    <t>Studio can test whether real-world variables close part of this gap before any lever needs to move — the Sketch holds those constant.</t>
  </si>
  <si>
    <t>ABU-06</t>
  </si>
  <si>
    <t>↓ → ABUNDANT (deepens)</t>
  </si>
  <si>
    <t>ABU-07</t>
  </si>
  <si>
    <t>Portfolio</t>
  </si>
  <si>
    <t>↑ → ABUNDANT (PARADOX)</t>
  </si>
  <si>
    <t>ABU-08</t>
  </si>
  <si>
    <t>↓ Small → ABUNDANT</t>
  </si>
  <si>
    <t>ABU-09</t>
  </si>
  <si>
    <t>↓ Large → GROUNDED</t>
  </si>
  <si>
    <t>Studio can test whether this floor alignment holds through your actual account architecture and withdrawal order.</t>
  </si>
  <si>
    <t>ABU-10</t>
  </si>
  <si>
    <t>↓ Very Large → EXPANSIVE</t>
  </si>
  <si>
    <t>ABU-11</t>
  </si>
  <si>
    <t>Contributions</t>
  </si>
  <si>
    <t>ABU-12</t>
  </si>
  <si>
    <t>↓ → GROUNDED</t>
  </si>
  <si>
    <t>ABU-13</t>
  </si>
  <si>
    <t>Retire Age</t>
  </si>
  <si>
    <t>↑ Later → ABUNDANT (PARADOX)</t>
  </si>
  <si>
    <t>ABU-14</t>
  </si>
  <si>
    <t>ABU-15</t>
  </si>
  <si>
    <t>ABU-16</t>
  </si>
  <si>
    <t>ABU-17</t>
  </si>
  <si>
    <t>Current Age</t>
  </si>
  <si>
    <t>↑ (fewer years) → GROUNDED</t>
  </si>
  <si>
    <t>ABU-18</t>
  </si>
  <si>
    <t>Studio can test whether fewer years changes how tax-advantaged growth compounds in real accounts — which may produce a different picture than the Sketch floor.</t>
  </si>
  <si>
    <t>ABU-19</t>
  </si>
  <si>
    <t>↓ (more years — PARADOX) → ABUNDANT</t>
  </si>
  <si>
    <t>ABU-20</t>
  </si>
  <si>
    <t>Portfolio↑ + Datum↑</t>
  </si>
  <si>
    <t>OFFSET → GROUNDED</t>
  </si>
  <si>
    <t>ABU-21</t>
  </si>
  <si>
    <t>Contributions↑ + Datum↑</t>
  </si>
  <si>
    <t>OFFSET → EXPANSIVE</t>
  </si>
  <si>
    <t>ABU-22</t>
  </si>
  <si>
    <t>RetireAge↑ + Datum↑</t>
  </si>
  <si>
    <t>ABU-23</t>
  </si>
  <si>
    <t>Portfolio↓ + RetireAge↓</t>
  </si>
  <si>
    <t>AMPLIFIED → GROUNDED</t>
  </si>
  <si>
    <t>Assembly note: If primary lever accounts for ≥70% of range shift, render single-lever copy. If &lt;70%, prepend multi-lever sentence from MULTI-LEVER PATTERNS sheet. PARADOX flag = positive inputs that deepen rather than resolve ABUNDANT position.</t>
  </si>
  <si>
    <t>PINNED — GROUNDED: Comparison Copy Matrix</t>
  </si>
  <si>
    <t>Pinned from: GROUNDED (floor × 0.85 ≤ spending ≤ floor × 1.15). Datum sits near the Survival Floor. TIGHT sub-zone (&lt;0.05 groundRatio): positive inputs can paradoxically deepen the position by lifting the Floor above the Datum.</t>
  </si>
  <si>
    <t>Direction / Result</t>
  </si>
  <si>
    <t>GRD-01</t>
  </si>
  <si>
    <t>↑ Small → GROUNDED</t>
  </si>
  <si>
    <t>Studio can confirm whether your actual withdrawal sequencing preserves this floor-level alignment or absorbs some of the apparent headroom above.</t>
  </si>
  <si>
    <t>GRD-02</t>
  </si>
  <si>
    <t>↑ Medium → EXPANSIVE</t>
  </si>
  <si>
    <t>GRD-03</t>
  </si>
  <si>
    <t>↑ Large → STRETCHED</t>
  </si>
  <si>
    <t>Studio can test whether tax sequencing and Social Security timing reinforce this upper-edge target through the full engine — variables the Sketch holds constant.</t>
  </si>
  <si>
    <t>GRD-04</t>
  </si>
  <si>
    <t>GRD-05</t>
  </si>
  <si>
    <t>↓ → ABUNDANT</t>
  </si>
  <si>
    <t>GRD-06</t>
  </si>
  <si>
    <t>↑ Small → GROUNDED (TIGHT PARADOX)</t>
  </si>
  <si>
    <t>GRD-07</t>
  </si>
  <si>
    <t>Studio can model how a larger portfolio interacts with real account types and tax sequencing to produce a different interior position than the Sketch projects.</t>
  </si>
  <si>
    <t>GRD-08</t>
  </si>
  <si>
    <t>Studio can model how a reduced portfolio changes real withdrawal sequencing assumptions relative to the Sketch floor projection.</t>
  </si>
  <si>
    <t>GRD-09</t>
  </si>
  <si>
    <t>↑ → GROUNDED (TIGHT PARADOX)</t>
  </si>
  <si>
    <t>GRD-10</t>
  </si>
  <si>
    <t>Studio can model how reduced contributions change the practical withdrawal floor through real account architecture and sequencing.</t>
  </si>
  <si>
    <t>GRD-11</t>
  </si>
  <si>
    <t>↑ Later → GROUNDED (TIGHT PARADOX)</t>
  </si>
  <si>
    <t>Studio can test whether delayed retirement changes Social Security timing and Roth conversion windows — which shift the real-world floor in ways the Sketch cannot model.</t>
  </si>
  <si>
    <t>GRD-12</t>
  </si>
  <si>
    <t>GRD-13</t>
  </si>
  <si>
    <t>↓ Earlier → ABUNDANT</t>
  </si>
  <si>
    <t>GRD-14</t>
  </si>
  <si>
    <t>↑ (fewer years) → ABUNDANT</t>
  </si>
  <si>
    <t>Studio can model whether fewer compounding years change how real account balances project against the Sketch's floor formula — the practical floor may differ.</t>
  </si>
  <si>
    <t>GRD-15</t>
  </si>
  <si>
    <t>↓ (more years — PARADOX) → GROUNDED</t>
  </si>
  <si>
    <t>Studio can model whether more years open additional Roth conversion windows or Social Security delay strategies that affect the practical floor separately from the Sketch formula.</t>
  </si>
  <si>
    <t>GRD-16</t>
  </si>
  <si>
    <t>Portfolio↑ + RetireAge↑</t>
  </si>
  <si>
    <t>AMPLIFIED (TIGHT PARADOX) → GROUNDED</t>
  </si>
  <si>
    <t>Studio can test whether combined portfolio growth and extended timeline interact with real account sequencing to produce a different practical floor than the amplified Sketch effect suggests.</t>
  </si>
  <si>
    <t>GRD-17</t>
  </si>
  <si>
    <t>Portfolio↓ + Datum↑</t>
  </si>
  <si>
    <t>AMPLIFIED → EXPANSIVE</t>
  </si>
  <si>
    <t>Studio can model whether lower portfolio and higher spending target interact differently through real withdrawal sequencing than the Sketch's amplified directional effect suggests.</t>
  </si>
  <si>
    <t>GRD-18</t>
  </si>
  <si>
    <t>Contributions↓ + Datum↑</t>
  </si>
  <si>
    <t>GRD-19</t>
  </si>
  <si>
    <t>Assembly note: TIGHT sub-zone (groundRatio &lt; 0.05) is paradox-eligible — positive inputs may deepen rather than resolve. STABLE sub-zone (groundRatio ≥ 0.05) behaves conventionally. If primary lever ≥70% of range shift, render single-lever copy; if &lt;70%, prepend multi-lever sentence.</t>
  </si>
  <si>
    <t>PINNED — EXPANSIVE: Comparison Copy Matrix</t>
  </si>
  <si>
    <t>Pinned from: EXPANSIVE (floor × 1.15 &lt; spending &lt; ceil × 0.85). Datum sits inside the Shape’s interior. Sub-zones tracked by position = (spending − floor) / (ceil − floor): FLOOR_SIDE (&lt;0.33), CENTERED (0.33–0.67), CEILING_SIDE (&gt;0.67). FLOOR_SIDE is paradox-eligible.</t>
  </si>
  <si>
    <t>EXP-01</t>
  </si>
  <si>
    <t>↑ Small → EXPANSIVE (position shift toward Ceiling)</t>
  </si>
  <si>
    <t>EXP-02</t>
  </si>
  <si>
    <t>↑ Medium → STRETCHED</t>
  </si>
  <si>
    <t>EXP-03</t>
  </si>
  <si>
    <t>↑ Large → OVEREXTENDED</t>
  </si>
  <si>
    <t>EXP-04</t>
  </si>
  <si>
    <t>↓ Small → EXPANSIVE (toward Floor)</t>
  </si>
  <si>
    <t>EXP-05</t>
  </si>
  <si>
    <t>↓ Medium → GROUNDED</t>
  </si>
  <si>
    <t>EXP-06</t>
  </si>
  <si>
    <t>↓ Large → ABUNDANT</t>
  </si>
  <si>
    <t>Studio can test whether real-world variables preserve this surplus or absorb some of it — the Sketch models it as pure headroom.</t>
  </si>
  <si>
    <t>EXP-07</t>
  </si>
  <si>
    <t>↑ → EXPANSIVE (FLOOR_SIDE PARADOX)</t>
  </si>
  <si>
    <t>EXP-08</t>
  </si>
  <si>
    <t>EXP-09</t>
  </si>
  <si>
    <t>↓ → EXPANSIVE (toward Ceiling)</t>
  </si>
  <si>
    <t>EXP-10</t>
  </si>
  <si>
    <t>EXP-11</t>
  </si>
  <si>
    <t>EXP-12</t>
  </si>
  <si>
    <t>EXP-13</t>
  </si>
  <si>
    <t>EXP-14</t>
  </si>
  <si>
    <t>↑ Later → EXPANSIVE (FLOOR_SIDE PARADOX)</t>
  </si>
  <si>
    <t>EXP-15</t>
  </si>
  <si>
    <t>EXP-16</t>
  </si>
  <si>
    <t>↓ Earlier → GROUNDED</t>
  </si>
  <si>
    <t>EXP-17</t>
  </si>
  <si>
    <t>EXP-18</t>
  </si>
  <si>
    <t>EXP-19</t>
  </si>
  <si>
    <t>↓ (more years — FLOOR_SIDE PARADOX) → EXPANSIVE</t>
  </si>
  <si>
    <t>EXP-20</t>
  </si>
  <si>
    <t>OFFSET → EXPANSIVE (Ceiling-side shift)</t>
  </si>
  <si>
    <t>EXP-21</t>
  </si>
  <si>
    <t>AMPLIFIED → STRETCHED</t>
  </si>
  <si>
    <t>EXP-22</t>
  </si>
  <si>
    <t>RetireAge↓ + Datum↓</t>
  </si>
  <si>
    <t>Assembly note: FLOOR_SIDE sub-zone (position &lt;0.33) is paradox-eligible — positive inputs may deepen the floor-side position by lifting the Floor faster than the Datum. Position shifts within EXPANSIVE (e.g., CENTERED → CEILING_SIDE) should render nuanced copy even when state label doesn’t change. If primary lever ≥70% of range shift, render single-lever copy; if &lt;70%, prepend multi-lever sentence.</t>
  </si>
  <si>
    <t>PINNED — STRETCHED: Comparison Copy Matrix</t>
  </si>
  <si>
    <t>Pinned from: STRETCHED (ceil × 0.85 ≤ spending &lt; ceil). Datum sits near the Structural Ceiling. No paradox risk — positive inputs grow the Ceiling, which expands the available range and improves position. Sub-zones: STANDARD (stretchRatio &lt; 0.93) and HIGH_END (stretchRatio ≥ 0.93).</t>
  </si>
  <si>
    <t>STR-01</t>
  </si>
  <si>
    <t>↑ Small → OVEREXTENDED</t>
  </si>
  <si>
    <t>STR-02</t>
  </si>
  <si>
    <t>↓ Small → STRETCHED</t>
  </si>
  <si>
    <t>STR-03</t>
  </si>
  <si>
    <t>↓ Medium → EXPANSIVE</t>
  </si>
  <si>
    <t>STR-04</t>
  </si>
  <si>
    <t>STR-05</t>
  </si>
  <si>
    <t>↓ Very Large → ABUNDANT</t>
  </si>
  <si>
    <t>STR-06</t>
  </si>
  <si>
    <t>↑ Small → STRETCHED</t>
  </si>
  <si>
    <t>STR-07</t>
  </si>
  <si>
    <t>STR-08</t>
  </si>
  <si>
    <t>↓ → OVEREXTENDED</t>
  </si>
  <si>
    <t>STR-09</t>
  </si>
  <si>
    <t>↑ → EXPANSIVE</t>
  </si>
  <si>
    <t>STR-10</t>
  </si>
  <si>
    <t>STR-11</t>
  </si>
  <si>
    <t>↑ Later → EXPANSIVE</t>
  </si>
  <si>
    <t>STR-12</t>
  </si>
  <si>
    <t>↑ Large → ABUNDANT (via shape expansion past target)</t>
  </si>
  <si>
    <t>STR-13</t>
  </si>
  <si>
    <t>↓ Earlier → OVEREXTENDED</t>
  </si>
  <si>
    <t>STR-14</t>
  </si>
  <si>
    <t>↑ (fewer years) → OVEREXTENDED</t>
  </si>
  <si>
    <t>STR-15</t>
  </si>
  <si>
    <t>↓ (more years) → EXPANSIVE</t>
  </si>
  <si>
    <t>STR-16</t>
  </si>
  <si>
    <t>Portfolio↑ + Datum↓</t>
  </si>
  <si>
    <t>Studio can test whether the portfolio increase and lower Datum target interact through real account types and tax sequencing in a way that reinforces this interior position.</t>
  </si>
  <si>
    <t>STR-17</t>
  </si>
  <si>
    <t>AMPLIFIED → OVEREXTENDED</t>
  </si>
  <si>
    <t>STR-18</t>
  </si>
  <si>
    <t>Contributions↑ + RetireAge↑</t>
  </si>
  <si>
    <t>STR-19</t>
  </si>
  <si>
    <t>Portfolio↑ + Contributions↑</t>
  </si>
  <si>
    <t>STR-20</t>
  </si>
  <si>
    <t>OFFSET → STRETCHED</t>
  </si>
  <si>
    <t>Assembly note: No paradox risk in STRETCHED — positive inputs (portfolio↑, contributions↑, time↑) grow the Ceiling and improve position. HIGH_END sub-zone (stretchRatio ≥ 0.93) is very close to the Ceiling and should trigger stronger urgency copy. If primary lever ≥70% of range shift, render single-lever copy; if &lt;70%, prepend multi-lever sentence.</t>
  </si>
  <si>
    <t>SECTION 1: CORE SHAPE FORMULAS</t>
  </si>
  <si>
    <t>Symbol</t>
  </si>
  <si>
    <t>Units</t>
  </si>
  <si>
    <t>Source</t>
  </si>
  <si>
    <t>Years to Retirement</t>
  </si>
  <si>
    <t>Y = retireAge − currentAge</t>
  </si>
  <si>
    <t>years</t>
  </si>
  <si>
    <t>Drives all compounding exponents</t>
  </si>
  <si>
    <t>Input levers</t>
  </si>
  <si>
    <t>Ceiling Growth Factor</t>
  </si>
  <si>
    <t>gfHi = (1.07)^Y</t>
  </si>
  <si>
    <t>multiplier</t>
  </si>
  <si>
    <t>7% annualized — Structural Ceiling path</t>
  </si>
  <si>
    <t>Sketch constant</t>
  </si>
  <si>
    <t>Floor Growth Factor</t>
  </si>
  <si>
    <t>gfLo = (1.035)^Y</t>
  </si>
  <si>
    <t>3.5% annualized — Survival Floor path</t>
  </si>
  <si>
    <t>Ceiling Spend Capacity</t>
  </si>
  <si>
    <t>ceilSpend = ((portfolio × gfHi) + contrib × ((gfHi − 1) / 0.07)) × 0.055</t>
  </si>
  <si>
    <t>$/yr</t>
  </si>
  <si>
    <t>5.5% withdrawal rate on ceiling-projected balance</t>
  </si>
  <si>
    <t>Sketch engine</t>
  </si>
  <si>
    <t>Floor Spend Capacity</t>
  </si>
  <si>
    <t>floorSpend = ((portfolio × gfLo) + contrib × 0.5 × ((gfLo − 1) / 0.035)) × 0.035</t>
  </si>
  <si>
    <t>3.5% withdrawal rate on floor-projected balance; contributions weighted 50%</t>
  </si>
  <si>
    <t>Shape Width</t>
  </si>
  <si>
    <t>width</t>
  </si>
  <si>
    <t>width = ceilSpend − floorSpend</t>
  </si>
  <si>
    <t>The cone's full modeled spending range at retirement</t>
  </si>
  <si>
    <t>Derived</t>
  </si>
  <si>
    <t>Expansive Position</t>
  </si>
  <si>
    <t>position = (spending − floorSpend) / (ceilSpend − floorSpend)</t>
  </si>
  <si>
    <t>0–1 ratio</t>
  </si>
  <si>
    <t>Used for EXPANSIVE sub-zone classification</t>
  </si>
  <si>
    <t>State logic</t>
  </si>
  <si>
    <t>Ground Ratio</t>
  </si>
  <si>
    <t>groundRatio = (spending − floorSpend) / floorSpend</t>
  </si>
  <si>
    <t>ratio</t>
  </si>
  <si>
    <t>Used for GROUNDED sub-zone: TIGHT &lt; 0.05, STABLE ≥ 0.05</t>
  </si>
  <si>
    <t>Stretch Ratio</t>
  </si>
  <si>
    <t>stretchRatio = spending / ceilSpend</t>
  </si>
  <si>
    <t>Used for STRETCHED sub-zone: STANDARD &lt; 0.93, HIGH_END ≥ 0.93</t>
  </si>
  <si>
    <t>Over Ratio</t>
  </si>
  <si>
    <t>overRatio = (spending − ceilSpend) / ceilSpend</t>
  </si>
  <si>
    <t>Used for OVEREXTENDED sub-zone: ENTRY &lt; 0.15, STRUCTURAL ≥ 0.15</t>
  </si>
  <si>
    <t>SECTION 2: LEVER DIRECTIONAL EFFECTS</t>
  </si>
  <si>
    <t>Effect on ceilSpend</t>
  </si>
  <si>
    <t>Effect on floorSpend</t>
  </si>
  <si>
    <t>Net Effect on Shape</t>
  </si>
  <si>
    <t>Paradox Risk</t>
  </si>
  <si>
    <t>↑ Increase</t>
  </si>
  <si>
    <t>ceilSpend rises (×gfHi factor)</t>
  </si>
  <si>
    <t>floorSpend rises (×gfLo factor)</t>
  </si>
  <si>
    <t>Shape grows upward; Ceiling rises faster than Floor</t>
  </si>
  <si>
    <t>Yes — in ABUNDANT, GROUNDED TIGHT, EXPANSIVE FLOOR_SIDE: Floor may crowd fixed Datum</t>
  </si>
  <si>
    <t>↓ Decrease</t>
  </si>
  <si>
    <t>ceilSpend falls</t>
  </si>
  <si>
    <t>floorSpend falls</t>
  </si>
  <si>
    <t>Shape compresses; Floor drops faster than Ceiling</t>
  </si>
  <si>
    <t>No — compressing shape moves Datum relatively higher</t>
  </si>
  <si>
    <t>ceilSpend rises (contrib × (gfHi−1)/0.07 × 0.055)</t>
  </si>
  <si>
    <t>floorSpend rises (contrib × 0.5 × (gfLo−1)/0.035 × 0.035)</t>
  </si>
  <si>
    <t>Shape grows upward; Ceiling grows faster than Floor</t>
  </si>
  <si>
    <t>Yes — same paradox states as Portfolio↑</t>
  </si>
  <si>
    <t>Shape compresses</t>
  </si>
  <si>
    <t>No</t>
  </si>
  <si>
    <t>↑ Later</t>
  </si>
  <si>
    <t>gfHi and gfLo both increase; Ceiling grows faster (7% vs 3.5% compound)</t>
  </si>
  <si>
    <t>Both endpoints rise; Shape widens and lifts</t>
  </si>
  <si>
    <t>Shape expands significantly upward</t>
  </si>
  <si>
    <t>Yes — same paradox states</t>
  </si>
  <si>
    <t>↓ Earlier</t>
  </si>
  <si>
    <t>gfHi and gfLo both decrease</t>
  </si>
  <si>
    <t>Both endpoints fall; Shape narrows and compresses</t>
  </si>
  <si>
    <t>Shape compresses; Ceiling drops faster than Floor</t>
  </si>
  <si>
    <t>No — but at extreme: Floor may drop below ABUNDANT Datum</t>
  </si>
  <si>
    <t>↑ (older, fewer years)</t>
  </si>
  <si>
    <t>Y decreases → same effect as Retire Age↓</t>
  </si>
  <si>
    <t>Both endpoints fall</t>
  </si>
  <si>
    <t>Shape compresses as remaining runway shrinks</t>
  </si>
  <si>
    <t>↓ (younger, more years)</t>
  </si>
  <si>
    <t>Y increases → same effect as Retire Age↑</t>
  </si>
  <si>
    <t>Both endpoints rise</t>
  </si>
  <si>
    <t>Shape expands upward</t>
  </si>
  <si>
    <t>No effect on ceilSpend</t>
  </si>
  <si>
    <t>No effect on floorSpend</t>
  </si>
  <si>
    <t>Datum moves up relative to fixed Shape</t>
  </si>
  <si>
    <t>No paradox — Datum moves toward Ceiling</t>
  </si>
  <si>
    <t>Datum moves down relative to fixed Shape</t>
  </si>
  <si>
    <t>No paradox — Datum moves toward Floor</t>
  </si>
  <si>
    <t>SECTION 3: PER-LEVER SENSITIVITY (10-YEAR HORIZON BASELINE)</t>
  </si>
  <si>
    <t>Lever Change</t>
  </si>
  <si>
    <t>Δ ceilSpend</t>
  </si>
  <si>
    <t>Δ floorSpend</t>
  </si>
  <si>
    <t>Ceiling:Floor Ratio</t>
  </si>
  <si>
    <t>Horizon</t>
  </si>
  <si>
    <t>Portfolio +$10,000</t>
  </si>
  <si>
    <t>+$550/yr</t>
  </si>
  <si>
    <t>+$350/yr</t>
  </si>
  <si>
    <t>~1.57×</t>
  </si>
  <si>
    <t>Ceiling grows ~57% faster than Floor per $10K portfolio</t>
  </si>
  <si>
    <t>10 years</t>
  </si>
  <si>
    <t>Contributions +$1,000/yr</t>
  </si>
  <si>
    <t>+$820/yr</t>
  </si>
  <si>
    <t>+$520/yr</t>
  </si>
  <si>
    <t>~1.58×</t>
  </si>
  <si>
    <t>Ceiling grows ~58% faster than Floor per $1K annual contribution</t>
  </si>
  <si>
    <t>Retire Age +1 year</t>
  </si>
  <si>
    <t>+7% compound on ceilSpend</t>
  </si>
  <si>
    <t>+3.5% compound on floorSpend</t>
  </si>
  <si>
    <t>~2× at margin</t>
  </si>
  <si>
    <t>One additional year of 7% vs 3.5% compounding; difference widens with each year</t>
  </si>
  <si>
    <t>Datum Spend ±$1</t>
  </si>
  <si>
    <t>No shape change</t>
  </si>
  <si>
    <t>N/A</t>
  </si>
  <si>
    <t>Datum-only movement; position ratio changes but Shape boundaries are unaffected</t>
  </si>
  <si>
    <t>All horizons</t>
  </si>
  <si>
    <t>SECTION 4: MULTI-LEVER ASSEMBLY RULE (70% THRESHOLD)</t>
  </si>
  <si>
    <t>When two or more levers move simultaneously, calculate each lever's individual contribution to the total range shift (ΔceilSpend + ΔfloorSpend). If the primary lever accounts for ≥70% of the total impact, render single-lever copy for that lever. If no lever reaches 70%, the move is multi-lever: prepend the appropriate multi-lever sentence from Section 5 before the primary lever's copy block. AMPLIFIED = both levers shift the Shape in the same direction. OFFSET = levers shift in opposing directions.</t>
  </si>
  <si>
    <t>Pattern Type</t>
  </si>
  <si>
    <t>Primary Copy Treatment</t>
  </si>
  <si>
    <t>Prepend Sentence?</t>
  </si>
  <si>
    <t>Example</t>
  </si>
  <si>
    <t>Section Ref</t>
  </si>
  <si>
    <t>SINGLE LEVER</t>
  </si>
  <si>
    <t>Primary lever ≥70% of total impact</t>
  </si>
  <si>
    <t>Render primary lever copy only</t>
  </si>
  <si>
    <t>Portfolio +$50K drives 85% of range shift → use Portfolio copy</t>
  </si>
  <si>
    <t>Section 5 primary</t>
  </si>
  <si>
    <t>MULTI — AMPLIFIED</t>
  </si>
  <si>
    <t>Primary lever &lt;70%; both levers move Shape same direction</t>
  </si>
  <si>
    <t>Render primary lever copy</t>
  </si>
  <si>
    <t>Yes — AMPLIFIED sentence</t>
  </si>
  <si>
    <t>Portfolio↑ + RetireAge↑ both grow Shape</t>
  </si>
  <si>
    <t>Section 5 multi</t>
  </si>
  <si>
    <t>MULTI — OFFSET</t>
  </si>
  <si>
    <t>Primary lever &lt;70%; levers move Shape in opposing directions</t>
  </si>
  <si>
    <t>Yes — OFFSET sentence</t>
  </si>
  <si>
    <t>Portfolio↑ + Datum↑ offset: Floor rises, Datum rises</t>
  </si>
  <si>
    <t>MULTI — BALANCED</t>
  </si>
  <si>
    <t>Both levers near equal contribution (&lt;55% / &gt;45%)</t>
  </si>
  <si>
    <t>Render combined copy</t>
  </si>
  <si>
    <t>Yes — BALANCED sentence</t>
  </si>
  <si>
    <t>Two levers each ~50% of range shift</t>
  </si>
  <si>
    <t>SECTION 5: SECONDARY LEVER SENTENCE TEMPLATES</t>
  </si>
  <si>
    <t>Template ID</t>
  </si>
  <si>
    <t>Pattern</t>
  </si>
  <si>
    <t>Template Text</t>
  </si>
  <si>
    <t>When to Use</t>
  </si>
  <si>
    <t>Lever Variables</t>
  </si>
  <si>
    <t>ML-01</t>
  </si>
  <si>
    <t>AMPLIFIED — both positive</t>
  </si>
  <si>
    <t>Two inputs moved in the same direction — [Lever A] and [Lever B] both grew the Shape, amplifying the shift.</t>
  </si>
  <si>
    <t>Multi-lever, both levers expand Shape</t>
  </si>
  <si>
    <t>[Lever A], [Lever B]</t>
  </si>
  <si>
    <t>Prepend before primary copy</t>
  </si>
  <si>
    <t>ML-02</t>
  </si>
  <si>
    <t>AMPLIFIED — both compressing</t>
  </si>
  <si>
    <t>Two inputs moved in the same direction — [Lever A] and [Lever B] both compressed the Shape, amplifying the downward shift.</t>
  </si>
  <si>
    <t>Multi-lever, both levers compress Shape</t>
  </si>
  <si>
    <t>ML-03</t>
  </si>
  <si>
    <t>OFFSET — net positive</t>
  </si>
  <si>
    <t>Two levers moved in opposing directions — [Lever A] worked to improve the position while [Lever B] worked against it. The net result was a positive shift.</t>
  </si>
  <si>
    <t>Multi-lever, opposing directions, net improvement</t>
  </si>
  <si>
    <t>ML-04</t>
  </si>
  <si>
    <t>OFFSET — net negative</t>
  </si>
  <si>
    <t>Two levers moved in opposing directions — [Lever A] and [Lever B] partially canceled each other. The net result was a negative shift despite one positive input.</t>
  </si>
  <si>
    <t>Multi-lever, opposing directions, net decline</t>
  </si>
  <si>
    <t>ML-05</t>
  </si>
  <si>
    <t>OFFSET — roughly neutral</t>
  </si>
  <si>
    <t>Two levers moved in opposing directions and roughly offset — [Lever A] and [Lever B] produced a marginal net shift. The position changed little despite both levers moving.</t>
  </si>
  <si>
    <t>Multi-lever, opposing directions, near-neutral</t>
  </si>
  <si>
    <t>ML-06</t>
  </si>
  <si>
    <t>AMPLIFIED — Datum + Shape lever</t>
  </si>
  <si>
    <t>The Datum moved [direction] while [Lever B] shifted the Shape in the same structural direction — both effects reinforced each other.</t>
  </si>
  <si>
    <t>Datum + any Shape lever, same direction</t>
  </si>
  <si>
    <t>Datum, [Lever B]</t>
  </si>
  <si>
    <t>Datum never affects Shape; treat as position-amplified</t>
  </si>
  <si>
    <t>ML-07</t>
  </si>
  <si>
    <t>OFFSET — Datum vs Shape lever</t>
  </si>
  <si>
    <t>The Datum moved [direction] while [Lever B] shifted the Shape boundaries in the opposing direction — the two effects partially canceled.</t>
  </si>
  <si>
    <t>Datum + any Shape lever, opposing directions</t>
  </si>
  <si>
    <t>Datum never affects Shape; treat as position-offset</t>
  </si>
  <si>
    <t>ML-08</t>
  </si>
  <si>
    <t>THREE LEVERS</t>
  </si>
  <si>
    <t>Three inputs moved simultaneously — [Lever A], [Lever B], and [Lever C]. Identify the primary driver (≥50% of impact) and note whether the secondary levers amplified or offset it.</t>
  </si>
  <si>
    <t>Three-lever moves</t>
  </si>
  <si>
    <t>[Lever A], [Lever B], [Lever C]</t>
  </si>
  <si>
    <t>Rare; render primary lever copy with abbreviated multi-lever note</t>
  </si>
  <si>
    <t>CLAUDE — Datum FI Copy System: AI Implementation Guide</t>
  </si>
  <si>
    <t>You are implementing the Datum FI copy system. This sheet tells you exactly how. Read the workbook in order: README → BASE sheets → PINNED sheets → LEVER MATH → MULTI-LEVER PATTERNS → this sheet. Each section below maps to a concrete code decision.</t>
  </si>
  <si>
    <t>SECTION 1 — HOW TO READ THIS WORKBOOK</t>
  </si>
  <si>
    <t>README</t>
  </si>
  <si>
    <t>Start here</t>
  </si>
  <si>
    <t>Contains state order, key JS variable names, color coding guide, and assembly rules overview. Read this first to orient yourself to the system architecture.</t>
  </si>
  <si>
    <t>BASE sheets (6)</t>
  </si>
  <si>
    <t>Sheets 2–6</t>
  </si>
  <si>
    <t>Each BASE sheet = one Shape State. Provides sub-zone variants, Para 1 / Para 2 / What to Consider / Studio CTA copy, sub-zone JS detection logic, and key insight notes. Use these for non-pinned renders.</t>
  </si>
  <si>
    <t>Sub-zone determines which Para 1 variant fires. Para 2, Consider, Studio are often shared across sub-zones.</t>
  </si>
  <si>
    <t>PINNED sheets (5)</t>
  </si>
  <si>
    <t>Sheets 7–11</t>
  </si>
  <si>
    <t>Each PINNED sheet = one starting Shape State. Rows are individual cases: lever × direction × resulting state. Columns: Case ID | Lever | Direction/Result | Resulting State | What it Means | What to Consider | Studio Line. Use these when a user has pinned a scenario.</t>
  </si>
  <si>
    <t>PARADOX flag in col D means a positive input deepens position — copy must acknowledge the counterintuitive result.</t>
  </si>
  <si>
    <t>LEVER MATH + MULTI-LEVER PATTERNS</t>
  </si>
  <si>
    <t>Sheets 12–13</t>
  </si>
  <si>
    <t>LEVER MATH: core formulas, directional effects, sensitivity estimates, 70% threshold rule, and secondary sentence templates ML-01 to ML-08. MULTI-LEVER PATTERNS: common 2-lever combos by starting state, AMPLIFIED/OFFSET/PARADOX classification.</t>
  </si>
  <si>
    <t>Always check LEVER MATH before writing lever-change copy — the math determines which lever moved the shape most.</t>
  </si>
  <si>
    <t>SECTION 2 — STATE DETECTION LOGIC (non-pinned)</t>
  </si>
  <si>
    <t>Step 1: Compute Shape</t>
  </si>
  <si>
    <t>ceilSpend &amp; floorSpend</t>
  </si>
  <si>
    <t>gfHi = (1.07)^Y  |  gfLo = (1.035)^Y  |  Y = retireAge − currentAge
ceilSpend = ((portfolio × gfHi) + contrib × ((gfHi−1)/0.07)) × 0.055
floorSpend = ((portfolio × gfLo) + contrib × 0.5 × ((gfLo−1)/0.035)) × 0.035</t>
  </si>
  <si>
    <t>Y = years to retirement. All inputs in real dollars.</t>
  </si>
  <si>
    <t>Step 2: Detect State</t>
  </si>
  <si>
    <t>Compare spending to Shape</t>
  </si>
  <si>
    <t>Canonical anchored-ratio boundaries (source of truth — README + BASE sheets):
  ABUNDANT:     spending &lt; floorSpend × 0.85
  GROUNDED:     floorSpend × 0.85 ≤ spending ≤ floorSpend × 1.15
  EXPANSIVE:    floorSpend × 1.15 &lt; spending &lt; ceilSpend × 0.85
  STRETCHED:    ceilSpend × 0.85 ≤ spending &lt; ceilSpend
  OVEREXTENDED: spending ≥ ceilSpend
NOTE: Any reference to '10% of shape width' is an approximation — disregard it. The ratio-anchored formula above is canonical. The JUST_BELOW/WELL_BELOW ABUNDANT threshold (0.75 × floorSpend) only carves meaningful territory under this formula.</t>
  </si>
  <si>
    <t>Ratio-anchored boundaries are canonical (README + BASE sheets). GROUNDED band: floor×0.85 to floor×1.15. STRETCHED band: ceil×0.85 to ceil. EXPANSIVE is the wide middle between those two bands. Do not use the 10%-of-width approximation anywhere in implementation.</t>
  </si>
  <si>
    <t>Step 3: Detect Sub-Zone</t>
  </si>
  <si>
    <t>Compute ratio or position</t>
  </si>
  <si>
    <t>ABUNDANT: abundantRatio = spending/floorSpend → JUST_BELOW if 0.75–0.85, WELL_BELOW if &lt;0.75
GROUNDED: groundRatio = (spending−floorSpend)/floorSpend → TIGHT if &lt;0.05, STABLE if ≥0.05
EXPANSIVE: position = (spending−floorSpend)/(ceilSpend−floorSpend) → FLOOR_SIDE &lt;0.33, CENTERED 0.33–0.67, CEILING_SIDE &gt;0.67
STRETCHED: stretchRatio = spending/ceilSpend → STANDARD &lt;0.93, HIGH_END ≥0.93
OVEREXTENDED: overRatio = (spending−ceilSpend)/ceilSpend → ENTRY &lt;0.15, STRUCTURAL ≥0.15</t>
  </si>
  <si>
    <t>Sub-zone is computed after state. Feed sub-zone into copy selector.</t>
  </si>
  <si>
    <t>Step 4: Select Copy</t>
  </si>
  <si>
    <t>BASE sheet lookup</t>
  </si>
  <si>
    <t>Match state + sub-zone → pull Para 1 variant from BASE sheet. Para 2, What to Consider, and Studio CTA are shared within most states (check BASE sheet Notes column for exceptions). Assemble in order: Para 1 → Para 2 → What to Consider → Studio CTA.</t>
  </si>
  <si>
    <t>Never swap Para 2 or Studio CTA between states — they are state-specific even when shared across sub-zones.</t>
  </si>
  <si>
    <t>SECTION 3 — PINNED COMPARISON FLOW</t>
  </si>
  <si>
    <t>Step 1: Detect Pin</t>
  </si>
  <si>
    <t>isPinned flag</t>
  </si>
  <si>
    <t>When user taps PIN SCENARIO: store pinnedState, pinnedSpending, pinnedPortfolio, pinnedContrib, pinnedRetireAge, pinnedCurrentAge. All subsequent renders compare live values against pinned values.</t>
  </si>
  <si>
    <t>Pin is user-triggered. The pinned values do not update until user pins again.</t>
  </si>
  <si>
    <t>Step 2: Compute Deltas</t>
  </si>
  <si>
    <t>Per-lever delta</t>
  </si>
  <si>
    <t>ΔSpending = liveSpending − pinnedSpending
ΔPortfolio = livePortfolio − pinnedPortfolio
ΔContrib = liveContrib − pinnedContrib
ΔRetireAge = liveRetireAge − pinnedRetireAge
ΔCurrentAge = liveCurrentAge − pinnedCurrentAge
For each lever, compute its Shape impact using LEVER MATH sensitivity values.</t>
  </si>
  <si>
    <t>Spending changes datum only — no Shape change. The other 4 levers change the Shape (ceilSpend + floorSpend).</t>
  </si>
  <si>
    <t>Step 3: Identify Primary Lever</t>
  </si>
  <si>
    <t>70% threshold rule</t>
  </si>
  <si>
    <t>Compute each lever's % contribution to total absolute Shape + datum movement. The lever with the largest % is the PRIMARY lever. If primary lever ≥ 70% of total impact → single-lever copy. If primary lever &lt; 70% → multi-lever copy (prepend secondary sentence).</t>
  </si>
  <si>
    <t>See LEVER MATH sheet, ML-01 through ML-08 templates, for secondary sentence construction.</t>
  </si>
  <si>
    <t>Step 4: Detect Resulting State</t>
  </si>
  <si>
    <t>Live state detection</t>
  </si>
  <si>
    <t>Run the same state detection logic (Section 2, Steps 1–2) on LIVE values. The resulting state is the DESIGNED STATE shown in the HUD. The starting state (at time of pin) is the PIN STATE.</t>
  </si>
  <si>
    <t>Both states must be displayed in the HUD header.</t>
  </si>
  <si>
    <t>Step 5: Detect Paradox</t>
  </si>
  <si>
    <t>Paradox-eligible states</t>
  </si>
  <si>
    <t>PARADOX fires when: a positive input (↑Portfolio, ↑Contrib, ↑RetireAge, ↓CurrentAge) causes the Floor to rise faster than a fixed Datum, DEEPENING the position.
Eligible: ABUNDANT (all sub-zones), GROUNDED_TIGHT, EXPANSIVE_FLOOR_SIDE.
When PARADOX fires: use paradox-flagged copy from PINNED sheet (col D = PARADOX). Acknowledge the counterintuitive result explicitly.</t>
  </si>
  <si>
    <t>PARADOX copy is pre-written in PINNED sheets — do not use standard directional copy when paradox flag is set.</t>
  </si>
  <si>
    <t>Step 6: Select Case Row</t>
  </si>
  <si>
    <t>PINNED sheet lookup</t>
  </si>
  <si>
    <t>Go to PINNED sheet for the PIN STATE. Find the row where Lever column = primary lever AND Direction/Result column matches the direction of movement AND Resulting State column = detected resulting state. Use What it Means, What to Consider, Studio Line from that row.</t>
  </si>
  <si>
    <t>If primary lever &lt; 70%: prepend ML sentence BEFORE What it Means. See Section 4 below.</t>
  </si>
  <si>
    <t>Step 7: Render HUD</t>
  </si>
  <si>
    <t>HUD fields</t>
  </si>
  <si>
    <t>PIN STATE: [pinnedState]
DESIGNED STATE: [resultingState]
Datum [↑/↓] $[pinnedSpending]k → $[liveSpending]k
What it Means: [selected copy]
What to Consider: [selected copy]
MOST IMPACTFUL LEVER: [primaryLever] ([signed delta], [primary%] of range)</t>
  </si>
  <si>
    <t>Delta sign: ↑ if positive, ↓ if negative or zero. Format all dollar values as $Xk rounded.</t>
  </si>
  <si>
    <t>SECTION 4 — MULTI-LEVER ASSEMBLY</t>
  </si>
  <si>
    <t>When to fire</t>
  </si>
  <si>
    <t>Primary lever &lt; 70%</t>
  </si>
  <si>
    <t>When the primary lever accounts for less than 70% of total combined impact, identify the secondary lever (second-largest % contributor). Prepend the appropriate ML sentence template from LEVER MATH sheet before the What it Means paragraph.</t>
  </si>
  <si>
    <t>Cap at 2 levers in the prepend sentence. 3+ lever moves use ML-07 or ML-08 (compound summary templates).</t>
  </si>
  <si>
    <t>AMPLIFIED pattern</t>
  </si>
  <si>
    <t>ML-01 to ML-04</t>
  </si>
  <si>
    <t>Both levers push in the same direction (both improve or both worsen position). Use AMPLIFIED template. Example: 'A longer runway and a larger portfolio are both pulling the Shape upward.' Then deliver the resulting-state What it Means copy.</t>
  </si>
  <si>
    <t>AMPLIFIED templates are ML-01 (time+capital), ML-02 (time+contrib), ML-03 (capital+contrib), ML-04 (spending+any).</t>
  </si>
  <si>
    <t>OFFSET pattern</t>
  </si>
  <si>
    <t>ML-05 to ML-06</t>
  </si>
  <si>
    <t>Levers push in opposite directions (one improves, one worsens). Use OFFSET template. Example: 'A larger portfolio is lifting the Ceiling, but higher spending is pulling the Datum up faster.' Then deliver the resulting-state What it Means copy.</t>
  </si>
  <si>
    <t>OFFSET templates are ML-05 (capital vs spending), ML-06 (time vs spending).</t>
  </si>
  <si>
    <t>3+ lever moves</t>
  </si>
  <si>
    <t>ML-07 to ML-08</t>
  </si>
  <si>
    <t>When 3 or more levers have moved and no single lever reaches 70%, use ML-07 (all positive direction) or ML-08 (mixed directions). These are summary-level prepend sentences acknowledging compound movement before delivering state copy.</t>
  </si>
  <si>
    <t>Do not attempt to name all 3+ levers individually — use the compound template.</t>
  </si>
  <si>
    <t>SECTION 5 — VARIABLE INJECTION &amp; TEMPLATE FIELDS</t>
  </si>
  <si>
    <t>Curly-brace variables</t>
  </si>
  <si>
    <t>In copy text</t>
  </si>
  <si>
    <t>{ceilSpend} = formatted ceiling spend (e.g. $140k/yr)
{floorSpend} = formatted floor spend (e.g. $57k/yr)
{spending} = user's current datum (e.g. $127k/yr)
{overPct} = how far above ceiling as a % (OVEREXTENDED only)
{headroom} = ceilSpend − spending (STRETCHED/EXPANSIVE)
{surplus} = floorSpend − spending (ABUNDANT only)</t>
  </si>
  <si>
    <t>All values injected at render time. Format as $Xk/yr. Always round to nearest $1k.</t>
  </si>
  <si>
    <t>OVEREXTENDED cap</t>
  </si>
  <si>
    <t>Ceiling Tension bar</t>
  </si>
  <si>
    <t>Cap Datum movement at 100% above ceilSpend. When spending &gt; 2 × ceilSpend, clamp to 2 × ceilSpend for display and copy purposes. The Ceiling Tension bar in screen 2 fills from 0% (at ceilSpend) to 100% (at 2× ceilSpend). Use STRUCTURAL sub-zone copy when overRatio ≥ 0.15.</t>
  </si>
  <si>
    <t>Do not display {overPct} values above 100 — clamp at 100% in the bar and in copy.</t>
  </si>
  <si>
    <t>Zero movement edge case</t>
  </si>
  <si>
    <t>Pinned, no change</t>
  </si>
  <si>
    <t>When all deltas = 0 (user pinned but has not moved any lever), show: 'Your Shape and Datum are identical to your pinned scenario. Move any lever to compare.' Do not render state-specific copy. Primary lever = N/A.</t>
  </si>
  <si>
    <t>This is the PIN STATE = DESIGNED STATE, zero-delta state shown in the first screenshot provided.</t>
  </si>
  <si>
    <t>Sub-zone copy swap rules</t>
  </si>
  <si>
    <t>What changes vs what stays</t>
  </si>
  <si>
    <t>ABUNDANT: only Para 1 changes between JUST_BELOW and WELL_BELOW. Para 2, Consider, Studio = shared. actionShort shared across both sub-zones.
GROUNDED: only Para 1 changes between TIGHT and STABLE. Para 2, Consider, Studio = shared. actionShort VARIES (TIGHT vs STABLE have distinct short strings).
EXPANSIVE: Para 1 varies across all 3 sub-zones (FLOOR_SIDE / CENTERED / CEILING_SIDE). Para 2 varies across all 3 sub-zones. Consider varies across all 3 sub-zones. Studio Line = shared. actionShort VARIES across all 3 sub-zones. Most fully differentiated state — all content fields except Studio vary per sub-zone.
STRETCHED: only Para 1 changes between STANDARD and HIGH_END. Para 2, Consider, Studio = shared. actionShort VARIES (STANDARD vs HIGH_END have distinct urgency framing).
OVEREXTENDED: Para 1 varies (ENTRY vs STRUCTURAL). Para 2 = shared. Studio = shared. Consider = shared in long-form (BASE sheet explicitly marks it 'Same for both sub-zones'). actionShort VARIES in short-form (ENTRY = small-gap framing; STRUCTURAL = structural-risk framing). Two-tier variance: long-form Consider shared, short-form actionShort varies. See §5A.</t>
  </si>
  <si>
    <t>EXPANSIVE is the most fully differentiated state — Para 1, Para 2, AND Consider all vary per sub-zone. OVEREXTENDED uses two-tier variance: long-form Consider is shared; short-form actionShort differs by sub-zone. ABUNDANT is the only state where BOTH tiers are shared.</t>
  </si>
  <si>
    <t>SECTION 5A — TWO-TIER VARIANCE FRAMEWORK</t>
  </si>
  <si>
    <t>Long-form variance (Para 1, Para 2, Consider) and short-form variance (physicsShort, actionShort) are INDEPENDENT decisions. A shared long-form field does NOT imply a shared short-form string.</t>
  </si>
  <si>
    <t>Long-Form Consider</t>
  </si>
  <si>
    <t>Short-Form actionShort</t>
  </si>
  <si>
    <t>Implementation Note</t>
  </si>
  <si>
    <t>Shared — identical across TIGHT and STABLE</t>
  </si>
  <si>
    <t>VARIES — TIGHT and STABLE have distinct actionShort strings</t>
  </si>
  <si>
    <t>TIGHT paradox risk (floor proximity) requires different action framing than STABLE</t>
  </si>
  <si>
    <t>VARIES — Para 2 and Consider each differ across all 3 sub-zones</t>
  </si>
  <si>
    <t>VARIES — all 3 sub-zones have distinct actionShort strings</t>
  </si>
  <si>
    <t>Most differentiated state. Position precision drives both tiers independently.</t>
  </si>
  <si>
    <t>Shared — identical across STANDARD and HIGH_END</t>
  </si>
  <si>
    <t>VARIES — STANDARD and HIGH_END carry distinct urgency framing in short strings</t>
  </si>
  <si>
    <t>Boundary urgency intensifies at HIGH_END. Short-form must reflect escalation.</t>
  </si>
  <si>
    <t>Shared — long-form Consider explicitly identical for ENTRY and STRUCTURAL</t>
  </si>
  <si>
    <t>VARIES — ENTRY = small-gap framing; STRUCTURAL = structural-risk framing</t>
  </si>
  <si>
    <t>Classic two-tier split. Do not collapse these to one actionShort string.</t>
  </si>
  <si>
    <t>Implementation Rule: check BOTH tiers independently before rendering. A shared long-form Consider never authorises a shared actionShort. Consult the BASE sheet for the relevant sub-zone to confirm the correct short string — BASE sheets are the authoritative source for all 22 short strings.</t>
  </si>
  <si>
    <t>SECTION 6 — STUDIO CTA RULES</t>
  </si>
  <si>
    <t>Shared Studio line</t>
  </si>
  <si>
    <t>Lever-specific Studio line</t>
  </si>
  <si>
    <t>SECTION 7 — EDGE CASES &amp; GUARDRAILS</t>
  </si>
  <si>
    <t>100% above ceiling</t>
  </si>
  <si>
    <t>Maximum displayed overextension = 100% above ceilSpend. Clamp spending input to min(spending, 2 × ceilSpend) before computing overRatio and Ceiling Tension bar fill. Above 100%, the bar is full and copy uses STRUCTURAL language regardless of further movement.</t>
  </si>
  <si>
    <t>Design spec: Ceiling Tension bar fills 0→100% as datum moves from ceilSpend to 2×ceilSpend.</t>
  </si>
  <si>
    <t>Negative headroom display</t>
  </si>
  <si>
    <t>OVEREXTENDED HUD</t>
  </si>
  <si>
    <t>In OVEREXTENDED state, do not display {headroom} — it is negative and confusing. Display {overPct} instead (how far above Ceiling as a %). In ABUNDANT, do not display {headroom} — display {surplus} (how far below Floor).</t>
  </si>
  <si>
    <t>Retirement age boundary</t>
  </si>
  <si>
    <t>Y floor</t>
  </si>
  <si>
    <t>Y = retireAge − currentAge must be ≥ 1. If user sets retireAge = currentAge or lower, clamp Y = 1 and display a soft warning: 'Retirement age must be at least one year ahead.' Do not allow negative Y in the shape computation.</t>
  </si>
  <si>
    <t>3+ lever paradox</t>
  </si>
  <si>
    <t>Compound paradox</t>
  </si>
  <si>
    <t>If 3+ levers all move in the positive direction from an ABUNDANT or GROUNDED_TIGHT starting state, the paradox may compound. Use ML-07 (all-positive template) AND flag the paradox note. Acknowledge that multiple positive inputs are deepening the conservative position by lifting the Floor.</t>
  </si>
  <si>
    <t>Rare edge case — document in your implementation log when it fires.</t>
  </si>
  <si>
    <t>END OF IMPLEMENTATION GUIDE — Datum FI Copy System v1.0 | Questions: reference the BASE and PINNED sheets directly — the copy is authoritative.</t>
  </si>
  <si>
    <t>SECTION 8 — DESIGN YOUR SHAPE: OVERVIEW</t>
  </si>
  <si>
    <t>What Is Design Shape Mode?</t>
  </si>
  <si>
    <t>Purpose</t>
  </si>
  <si>
    <t>Design Shape mode lets users drag the Ceiling bar, Floor bar, or Datum bar directly on the visualization to define a target retirement shape — then back-solves which lever changes are required to reach it.</t>
  </si>
  <si>
    <t>Three Draggable Targets</t>
  </si>
  <si>
    <t>Ceiling bar (top of Shape), Floor bar (bottom of Shape), Datum bar (spending target line)</t>
  </si>
  <si>
    <t>Key Difference from Discover</t>
  </si>
  <si>
    <t>Discover mode moves levers → shape updates. Design mode moves shape → levers solve. It teaches users that levers are coupled — raising the ceiling also raises the floor.</t>
  </si>
  <si>
    <t>Sheet References</t>
  </si>
  <si>
    <t>Copy Architecture</t>
  </si>
  <si>
    <t>SECTION 9 — DESIGN SHAPE DETECTION FLOW</t>
  </si>
  <si>
    <t>5-Step Routing Logic</t>
  </si>
  <si>
    <t>Step 1 — Detect Drag Type</t>
  </si>
  <si>
    <t>Compare draggedCeil and draggedFloor to currentCeil and currentFloor. If only ceiling moved → Block A. If only floor moved → Block B. If both moved → Block C. If Y=0 → override with Block D. If only datum moved → Block E.</t>
  </si>
  <si>
    <t>Step 2 — Route to Block</t>
  </si>
  <si>
    <t>Select the matching copy block from Sheet 16. Each block has its own paragraph structure and variable list.</t>
  </si>
  <si>
    <t>Step 3 — Run Inverse Math</t>
  </si>
  <si>
    <t>Using Sheet 15 formulas: single-target cases use direct inversion. Dual-target uses Cramer’s Rule (ΔP and ΔK solved simultaneously). Y=0 collapses contributions — portfolio is the only lever.</t>
  </si>
  <si>
    <t>Step 4 — Check Feasibility</t>
  </si>
  <si>
    <t>Run the 12-step decision tree from Sheet 17. Hard stops halt rendering and surface an error. Soft limit breaches fall through to combo path. UI drag cap violations are silently clamped.</t>
  </si>
  <si>
    <t>Step 5 — Render Copy</t>
  </si>
  <si>
    <t>SECTION 10 — THE COUPLING CONSTRAINT</t>
  </si>
  <si>
    <t>Core Rule: No Lever Moves Only One Endpoint</t>
  </si>
  <si>
    <t>Principle</t>
  </si>
  <si>
    <t>Every lever that shifts the ceiling also shifts the floor. Pulling only the ceiling bar is a user intent signal — not a mechanical reality. Claude must always disclose the side effect on the other endpoint.</t>
  </si>
  <si>
    <t>Portfolio (ΔP) Ratios at Y=10</t>
  </si>
  <si>
    <t>Ceiling sensitivity: 0.055 × gfHi ≈ 0.1085. Floor sensitivity: 0.035 × gfLo ≈ 0.0496. Ceiling:Floor ratio ≈ 2.19:1. A $10K portfolio increase lifts ceiling by ~$1,085 and floor by ~$496.</t>
  </si>
  <si>
    <t>Contributions (ΔK) Ratios at Y=10</t>
  </si>
  <si>
    <t>Ceiling sensitivity: 0.055 × (gfHi−1)/0.07 ≈ 0.7485. Floor sensitivity: 0.035 × 0.5 × (gfLo−1)/0.035 ≈ 0.2025. Ceiling:Floor ratio ≈ 3.70:1. Higher contribution leverage makes ceiling more responsive.</t>
  </si>
  <si>
    <t>Retire Age (ΔY) Ratios at Y=10</t>
  </si>
  <si>
    <t>Approximate ratio ≈ 2.0:1. Both endpoints grow with each additional year due to compounding; ceiling grows faster.</t>
  </si>
  <si>
    <t>Mandatory Side-Effect Disclosure</t>
  </si>
  <si>
    <t>Cramer’s Rule (Block C)</t>
  </si>
  <si>
    <t>When both endpoints are dragged, solve ΔP and ΔK simultaneously: det = a1×b2 − a2×b1. ΔP = (dc×b2 − df×b1) / det. ΔK = (df×a1 − dc×a2) / det. Where a1/b1 = ceiling/floor sensitivity to portfolio; a2/b2 = ceiling/floor sensitivity to contributions.</t>
  </si>
  <si>
    <t>SECTION 11 — FEASIBILITY DECISION TREE (See Sheet 17 for Full 12-Step Tree)</t>
  </si>
  <si>
    <t>Hard Stops — Halt Rendering, Surface Error</t>
  </si>
  <si>
    <t>ΔY results in retireAge &lt; currentAge</t>
  </si>
  <si>
    <t>ΔP results in portfolio &lt; 0</t>
  </si>
  <si>
    <t>Negative portfolio is infeasible. Error: ‘Target requires a negative starting balance — not achievable.’</t>
  </si>
  <si>
    <t>ΔK results in contributions &lt; −currentK</t>
  </si>
  <si>
    <t>Cannot reduce contributions below zero. Error: ‘Target requires more contribution reduction than is possible.’</t>
  </si>
  <si>
    <t>draggedCeil &lt; currentFloor</t>
  </si>
  <si>
    <t>Ceiling cannot be dragged below the current floor. UI clamp: silently snap to currentFloor + $1K.</t>
  </si>
  <si>
    <t>draggedFloor &gt; currentCeil</t>
  </si>
  <si>
    <t>Soft Limits — Fall Through to Combo Path</t>
  </si>
  <si>
    <t>ΔK &gt; $50K/yr</t>
  </si>
  <si>
    <t>Single-lever contributions path is impractical. Fall through: render combo copy (Block C with retirement age as secondary lever).</t>
  </si>
  <si>
    <t>ΔP &gt; 2× currentPortfolio</t>
  </si>
  <si>
    <t>Single-lever portfolio path is impractical. Fall through: render combo copy.</t>
  </si>
  <si>
    <t>ΔY &gt; 15 years</t>
  </si>
  <si>
    <t>Single-lever retirement age path is impractical. Fall through: render combo copy.</t>
  </si>
  <si>
    <t>UI Drag Cap Rules</t>
  </si>
  <si>
    <t>Ceiling drag cap</t>
  </si>
  <si>
    <t>Max drag = +100% above currentCeil (i.e., draggedCeil ≤ 2 × currentCeil).</t>
  </si>
  <si>
    <t>Floor drag cap</t>
  </si>
  <si>
    <t>Max drag = +50% above currentFloor or down to $0.</t>
  </si>
  <si>
    <t>Datum drag cap</t>
  </si>
  <si>
    <t>Min = $0. Max = draggedCeil × 0.99 (datum cannot equal or exceed ceiling).</t>
  </si>
  <si>
    <t>SECTION 12 — DESIGN SHAPE VARIABLE INJECTION</t>
  </si>
  <si>
    <t>All Curly-Brace Variables and Format Rules</t>
  </si>
  <si>
    <t>{{newCeil}}</t>
  </si>
  <si>
    <t>The dragged ceiling spend target. Format: nearest $1K. Example: $202,000.</t>
  </si>
  <si>
    <t>{{newFloor}}</t>
  </si>
  <si>
    <t>The dragged floor spend target. Format: nearest $1K. Example: $118,000.</t>
  </si>
  <si>
    <t>{{newDatum}}</t>
  </si>
  <si>
    <t>The dragged datum (spending target). Format: nearest $1K. Example: $145,000.</t>
  </si>
  <si>
    <t>{{currentCeil}}</t>
  </si>
  <si>
    <t>Ceiling from the user’s Discover state (pre-drag). Format: nearest $1K.</t>
  </si>
  <si>
    <t>{{currentFloor}}</t>
  </si>
  <si>
    <t>Floor from the user’s Discover state (pre-drag). Format: nearest $1K.</t>
  </si>
  <si>
    <t>{{currentDatum}}</t>
  </si>
  <si>
    <t>Datum from the user’s Discover state. Format: nearest $1K.</t>
  </si>
  <si>
    <t>{{deltaCeil}}</t>
  </si>
  <si>
    <t>Absolute change in ceiling (newCeil − currentCeil). Format: nearest $1K with sign. Example: +$17,000.</t>
  </si>
  <si>
    <t>{{deltaFloor}}</t>
  </si>
  <si>
    <t>Absolute change in floor (newFloor − currentFloor). Format: nearest $1K with sign. Example: +$8,000.</t>
  </si>
  <si>
    <t>{{deltaPct}}</t>
  </si>
  <si>
    <t>Percentage change in ceiling or floor. Format: one decimal. Example: +9.2%.</t>
  </si>
  <si>
    <t>{{reqDeltaPortfolio}}</t>
  </si>
  <si>
    <t>Required portfolio change (ΔP) from inverse solver. Format: nearest $1K with sign.</t>
  </si>
  <si>
    <t>{{reqDeltaContrib}}</t>
  </si>
  <si>
    <t>Required annual contribution change (ΔK) from inverse solver. Format: nearest $100 with sign.</t>
  </si>
  <si>
    <t>{{reqDeltaRetireAge}}</t>
  </si>
  <si>
    <t>Required retirement age change (ΔY) from inverse solver. Format: integer years with sign. Example: +3 years.</t>
  </si>
  <si>
    <t>{{impliedFloor}}</t>
  </si>
  <si>
    <t>Floor that results from a ceiling-only drag (coupling side effect). Format: nearest $1K.</t>
  </si>
  <si>
    <t>{{impliedCeil}}</t>
  </si>
  <si>
    <t>Ceiling that results from a floor-only drag (coupling side effect). Format: nearest $1K.</t>
  </si>
  <si>
    <t>{{primaryLever}}</t>
  </si>
  <si>
    <t>Human-readable name of the dominant lever. Values: ‘portfolio’, ‘contributions’, ‘retirement age’.</t>
  </si>
  <si>
    <t>{{secondaryLever}}</t>
  </si>
  <si>
    <t>Human-readable name of the secondary lever in combo path.</t>
  </si>
  <si>
    <t>{{primaryPct}}</t>
  </si>
  <si>
    <t>Percentage of total impact attributable to primary lever. Format: integer. Example: 74%.</t>
  </si>
  <si>
    <t>{{retireAge}}</t>
  </si>
  <si>
    <t>User’s current planned retirement age. Format: integer.</t>
  </si>
  <si>
    <t>{{newRetireAge}}</t>
  </si>
  <si>
    <t>Required retirement age after ΔY is applied. Format: integer.</t>
  </si>
  <si>
    <t>70% Rule Reminder</t>
  </si>
  <si>
    <t>If {{primaryPct}} ≥ 70, render single-lever copy only. If {{primaryPct}} &lt; 70, prepend a multi-lever sentence from Sheet 12 (ML-01 through ML-08) before the main block.</t>
  </si>
  <si>
    <t>Rewrite Philosophy: Lead with the consequence, not the coordinate. Users can SEE their position visually — the HUD must interpret, not describe.</t>
  </si>
  <si>
    <t>REWRITE PRINCIPLE</t>
  </si>
  <si>
    <t>OLD PATTERN (eliminate): Opening sentences that describe WHERE the user sits in the Shape ('Your spending target sits near the middle...', 'The floor is close below you...'). These are visible on screen — repeating them wastes every word.</t>
  </si>
  <si>
    <t>NEW PATTERN (required): Opening sentences that name WHAT THAT POSITION MEANS economically — which scenario is doing the load-bearing, what the stress case guarantees, what risks activate at this position, what capacity is going unclaimed.</t>
  </si>
  <si>
    <t>TONAL NOTE — ABUNDANT + GROUNDED: Users near the floor are CHOOSING to live there — spending less than the plan supports. This is NOT a danger position. Copy must: (1) confirm the guarantee, one sentence, factual; (2) name the surplus, one sentence, neutral; (3) provoke the purpose question. No warnings. No 'pressure.' Floor proximity when chosen = discipline, not danger.</t>
  </si>
  <si>
    <t>§7 — DESIGN — REVERSAL MATRIX (Sheet 17)</t>
  </si>
  <si>
    <t>New sheet added to workbook. Documents shape-change taxonomy, magnitude bands, lever routing, and lever costs for Design mode inverse solving.</t>
  </si>
  <si>
    <t>SHEET PURPOSE</t>
  </si>
  <si>
    <t>The Reversal Matrix is the routing engine for Design mode. When a user drags the shape endpoints, this sheet determines: (1) what TYPE of shape change occurred, (2) how LARGE the change is, (3) which LEVERS are routed, and (4) what each lever costs and how to frame it in copy.</t>
  </si>
  <si>
    <t>FOUR SECTIONS</t>
  </si>
  <si>
    <t>Section</t>
  </si>
  <si>
    <t>Title</t>
  </si>
  <si>
    <t>Contents</t>
  </si>
  <si>
    <t>Section 1</t>
  </si>
  <si>
    <t>Shape Change Type Taxonomy</t>
  </si>
  <si>
    <t>5 change types: Type 1 Parallel (floor + ceiling rise/fall together), Type 2A Floor Up Only, Type 2B Ceiling Up Only, Type 3 Asymmetric (floor and ceiling move in opposite directions or by different amounts). Each type has a distinct lever routing path.</t>
  </si>
  <si>
    <t>Section 2</t>
  </si>
  <si>
    <t>Magnitude Bands + Lever Routing</t>
  </si>
  <si>
    <t>10 rows. Small / Medium / Large magnitude bands per change type. Small = single lever likely sufficient. Medium = combination likely required. Large = Cramer's Rule solver (Block C) required. Routes to DESIGN — INVERSE MATH.</t>
  </si>
  <si>
    <t>Section 3</t>
  </si>
  <si>
    <t>Lever Cost Table</t>
  </si>
  <si>
    <t>6 levers documented: (1) Contribution increase — high ceiling impact (3.70:1 ratio), cost = cash flow constraint; (2) Retire-age delay — strong both boundaries (~2.0:1 ratio), cost = lifestyle years; (3) Portfolio lump-sum — moderate impact (2.19:1 ratio), cost = liquidity; (4) SS delay — targeted floor lift, cost = early-retirement income gap; (5) Annuitization — floor-specific lever, cost = upside cap; (6) Allocation shift — range-widening lever, cost = volatility exposure. Each lever has copy framing and escalation threshold.</t>
  </si>
  <si>
    <t>Section 4</t>
  </si>
  <si>
    <t>Starting Shape vs. Ending Shape</t>
  </si>
  <si>
    <t>Flags accumulation engineering as structurally distinct from distribution engineering. Endpoint drags (right edge) = distribution levers. Starting-shape drags (left edge, today's trajectory) = accumulation levers (contributions, portfolio lump-sum, current allocation, retire age). Routing differs entirely. See §8 note on sub-mode toggle.</t>
  </si>
  <si>
    <t>QUANTIFICATION GATE</t>
  </si>
  <si>
    <t>The Reversal Matrix requires Discover State completion (Discover mode, current inputs locked) before providing specific lever numbers. Copy blocks use {deltaPortfolioK}, {deltaContribK}, {yearsDelta} as live-injected variables. Do not render specific numbers until the gate is cleared.</t>
  </si>
  <si>
    <t>CROSS-REFERENCES</t>
  </si>
  <si>
    <t>Reversal Matrix → DESIGN — INVERSE MATH (Sheet 15): Block A (ceiling only), Block B (floor only), Block C (Cramer's Rule simultaneous), Block D (Y=0 retire-today), Block E (datum only re-classify)</t>
  </si>
  <si>
    <t>Reversal Matrix → DESIGN — COPY BLOCKS (Sheet 14): Copy blocks keyed to lever type and magnitude band. Block labels match section 2 routing.</t>
  </si>
  <si>
    <t>Reversal Matrix → DESIGN — FEASIBILITY RULES (Sheet 13): 12-step decision tree runs BEFORE Reversal Matrix routing. Hard stops (negative portfolio, floor above ceiling) halt rendering and bypass Reversal Matrix entirely.</t>
  </si>
  <si>
    <t>§8 — STARTING SHAPE: SUB-MODE TOGGLE (NOT A 3RD SCREEN)</t>
  </si>
  <si>
    <t>Accumulation engineering (adjusting today's trajectory / left edge) is structurally distinct from distribution engineering (adjusting retirement income range / right edge). However, it does NOT require a third product mode. Recommended implementation: sub-mode toggle within Design screen.</t>
  </si>
  <si>
    <t>Toggle states: 'Endpoint Design' (default) — drags the right edge, routes distribution levers (SS delay, annuitization, allocation shift, SWR). 'Starting Shape' — drags the left edge, routes accumulation levers (contributions, portfolio lump-sum, current allocation, retire age).</t>
  </si>
  <si>
    <t>The interaction model is identical (drag corners → see requirements). Only the anchor point and lever set change. Copy routes to existing DESIGN blocks with accumulation-specific framing. No new sheet required — Reversal Matrix Section 4 is the routing flag.</t>
  </si>
  <si>
    <t>Key distinction for copy: Starting Shape copy asks 'what does your building phase need to look like to produce this result?' Distribution copy asks 'what does your income need to look like to sustain this result?' Different questions, same drag interaction.</t>
  </si>
  <si>
    <t>SHEET 17 — DESIGN: FEASIBILITY RULES</t>
  </si>
  <si>
    <t>Every infeasibility condition for the inverse solver — trigger, copy response, and fall-through behavior.</t>
  </si>
  <si>
    <t>SECTION 1 — HARD STOPS (Structural Impossibilities — No Solution)</t>
  </si>
  <si>
    <t>Block</t>
  </si>
  <si>
    <t>Copy Response</t>
  </si>
  <si>
    <t>Floor target &gt;= ceiling target</t>
  </si>
  <si>
    <t>F_target &gt;= C_target</t>
  </si>
  <si>
    <t>Block C</t>
  </si>
  <si>
    <t>The floor can't sit above the ceiling — that shape doesn't exist. Pull the ceiling higher or the floor lower.</t>
  </si>
  <si>
    <t>Block all lever solutions.</t>
  </si>
  <si>
    <t>Negative portfolio required</t>
  </si>
  <si>
    <t>requiredP &lt; 0</t>
  </si>
  <si>
    <t>Any</t>
  </si>
  <si>
    <t>That target implies a negative portfolio — not a reachable state. Pull the target closer to your current shape.</t>
  </si>
  <si>
    <t>Hard stop. Show current values.</t>
  </si>
  <si>
    <t>Retire age below current age</t>
  </si>
  <si>
    <t>newRetireAge &lt; currentAge</t>
  </si>
  <si>
    <t>That retirement age is in the past. The solver can't return time.</t>
  </si>
  <si>
    <t>Clamp Y_low = 0 in binary search.</t>
  </si>
  <si>
    <t>No drag movement (dc=0 and df=0)</t>
  </si>
  <si>
    <t>dc=0 AND df=0</t>
  </si>
  <si>
    <t>You haven't moved either boundary — nothing to solve for yet.</t>
  </si>
  <si>
    <t>Suppress Block C. Show base state.</t>
  </si>
  <si>
    <t>Degenerate 2x2 system</t>
  </si>
  <si>
    <t>det = a1*b2 - a2*b1 ≈ 0</t>
  </si>
  <si>
    <t>The boundary ratio you selected can't be reached by portfolio and contributions alone. Retirement age is the additional lever needed.</t>
  </si>
  <si>
    <t>Fall through to retire-age + contrib combo.</t>
  </si>
  <si>
    <t>SECTION 2 — SINGLE-LEVER SOFT LIMITS (Fall Through to Combo)</t>
  </si>
  <si>
    <t>Trigger Threshold</t>
  </si>
  <si>
    <t>Fall-Through</t>
  </si>
  <si>
    <t>Contributions too high — ceil drag</t>
  </si>
  <si>
    <t>ΔK &gt; $50,000/yr</t>
  </si>
  <si>
    <t>Block A P1</t>
  </si>
  <si>
    <t>Reaching that ceiling would require adding {ΔK}/yr — beyond a realistic single-lever move. The combination path is more practical.</t>
  </si>
  <si>
    <t>Suppress Path 1. Lead with portfolio or combo.</t>
  </si>
  <si>
    <t>Contributions too high — floor drag</t>
  </si>
  <si>
    <t>Block B P1</t>
  </si>
  <si>
    <t>Securing that floor via contributions alone requires {ΔK}/yr — more than one lever can carry. See the combination path.</t>
  </si>
  <si>
    <t>Portfolio too large — ceil drag</t>
  </si>
  <si>
    <t>ΔP &gt; 2x currentPortfolio</t>
  </si>
  <si>
    <t>Block A P2</t>
  </si>
  <si>
    <t>Reaching that ceiling via portfolio alone requires adding {ΔP} — more than twice your current balance.</t>
  </si>
  <si>
    <t>Suppress Path 2. Present contributions or combo.</t>
  </si>
  <si>
    <t>Portfolio too large — floor drag</t>
  </si>
  <si>
    <t>Block B P2</t>
  </si>
  <si>
    <t>Securing that floor via portfolio alone requires adding {ΔP} — more than twice your current balance.</t>
  </si>
  <si>
    <t>Retire delay extreme — ceil</t>
  </si>
  <si>
    <t>Block A P3</t>
  </si>
  <si>
    <t>Reaching that ceiling through retirement timing alone would require delaying {ΔY} years. A combination may be more practical.</t>
  </si>
  <si>
    <t>Show with warning label. Do NOT suppress.</t>
  </si>
  <si>
    <t>Retire delay extreme — floor</t>
  </si>
  <si>
    <t>Block B P3</t>
  </si>
  <si>
    <t>Securing that floor through retirement timing alone would require delaying {ΔY} years.</t>
  </si>
  <si>
    <t>All 3 single-lever paths infeasible</t>
  </si>
  <si>
    <t>All 3 exceed thresholds</t>
  </si>
  <si>
    <t>Block A / B</t>
  </si>
  <si>
    <t>No single lever reaches that target in your timeline. The combination path is the realistic route.</t>
  </si>
  <si>
    <t>Show combo path only. Suppress all 3 individual paths.</t>
  </si>
  <si>
    <t>SECTION 3 — COMBO INFEASIBILITIES (Block C — Dual Drag)</t>
  </si>
  <si>
    <t>ΔContrib negative and large</t>
  </si>
  <si>
    <t>ΔK &lt; -$30,000/yr</t>
  </si>
  <si>
    <t>The combination requires reducing contributions by {|ΔK|}/yr — confirm this matches your savings plan before adjusting.</t>
  </si>
  <si>
    <t>Flag with caution label. Present but warn.</t>
  </si>
  <si>
    <t>ΔPortfolio negative</t>
  </si>
  <si>
    <t>ΔP &lt; 0</t>
  </si>
  <si>
    <t>The combination implies drawing down your portfolio by {|ΔP|}. Confirm this matches your intent.</t>
  </si>
  <si>
    <t>Combo ΔP still &gt; 2x currentP</t>
  </si>
  <si>
    <t>Post-solve ΔP &gt; 2x current</t>
  </si>
  <si>
    <t>Even the combination can't reach both targets without an unrealistic portfolio addition. Retirement timing is the additional lever.</t>
  </si>
  <si>
    <t>Add retire age as 3rd lever. Recalculate.</t>
  </si>
  <si>
    <t>Combo ΔK still &gt; $50K</t>
  </si>
  <si>
    <t>Post-solve ΔK &gt; $50K</t>
  </si>
  <si>
    <t>The combination still requires more in contributions than is practical. Consider adjusting one target — pulling the ceiling or floor closer.</t>
  </si>
  <si>
    <t>Prompt user to re-drag. Suggest intermediate target.</t>
  </si>
  <si>
    <t>SECTION 4 — Y=0 RULES (Retire Today — Block D)</t>
  </si>
  <si>
    <t>Portfolio gap &gt; $5M</t>
  </si>
  <si>
    <t>ΔP &gt; $5,000,000</t>
  </si>
  <si>
    <t>Block D</t>
  </si>
  <si>
    <t>Retiring today at that level requires {requiredP} — {ΔP} more than your current balance. At your current trajectory, that gap closes in approximately {gapYears} years.</t>
  </si>
  <si>
    <t>Show forward-projected gap-close year.</t>
  </si>
  <si>
    <t>Target already met (surplus)</t>
  </si>
  <si>
    <t>ΔP &lt;= 0</t>
  </si>
  <si>
    <t>Your current portfolio already covers that spending level with room to spare — {|ΔP|} of excess capacity.</t>
  </si>
  <si>
    <t>Positive framing. Show surplus. No lever needed.</t>
  </si>
  <si>
    <t>Contributions shown at Y=0</t>
  </si>
  <si>
    <t>Y = 0 always</t>
  </si>
  <si>
    <t>(Suppress contributions path — never surface it at Y=0.)</t>
  </si>
  <si>
    <t>Hard rule: omit contributions path when Y=0.</t>
  </si>
  <si>
    <t>SECTION 5 — UI DRAG LIMIT RULES</t>
  </si>
  <si>
    <t>Boundary</t>
  </si>
  <si>
    <t>Min Drag Limit</t>
  </si>
  <si>
    <t>Max Drag Limit</t>
  </si>
  <si>
    <t>Behavior at Limit</t>
  </si>
  <si>
    <t>UX Copy / Tooltip</t>
  </si>
  <si>
    <t>Ceiling</t>
  </si>
  <si>
    <t>currentCeil x 0.50</t>
  </si>
  <si>
    <t>currentCeil x 2.00</t>
  </si>
  <si>
    <t>Clamp drag — don't allow target outside range.</t>
  </si>
  <si>
    <t>'Ceiling drag limited to 2x current value. Use levers for larger moves.'</t>
  </si>
  <si>
    <t>Floor</t>
  </si>
  <si>
    <t>currentFloor x 0.50</t>
  </si>
  <si>
    <t>currentFloor x 2.00</t>
  </si>
  <si>
    <t>Clamp drag at limit.</t>
  </si>
  <si>
    <t>'Floor drag limited to 2x current value.'</t>
  </si>
  <si>
    <t>Datum</t>
  </si>
  <si>
    <t>$0/yr</t>
  </si>
  <si>
    <t>currentCeil x 1.50</t>
  </si>
  <si>
    <t>Clamp at ceiling x 1.50. OVEREXTENDED triggers beyond ceiling.</t>
  </si>
  <si>
    <t>Cap prevents runaway OVEREXTENDED copy.</t>
  </si>
  <si>
    <t>Floor above Ceiling</t>
  </si>
  <si>
    <t>Must remain &lt; C_target at all times</t>
  </si>
  <si>
    <t>(same)</t>
  </si>
  <si>
    <t>Freeze floor at ceiling minus $1,000 if drag would cross.</t>
  </si>
  <si>
    <t>'Floor can't exceed ceiling — boundaries held apart.'</t>
  </si>
  <si>
    <t>SECTION 6 — FEASIBILITY DECISION TREE (Implementation Reference)</t>
  </si>
  <si>
    <t>Check</t>
  </si>
  <si>
    <t>Is Y = 0?</t>
  </si>
  <si>
    <t>Yes</t>
  </si>
  <si>
    <t>Use Block D (portfolio only). Skip all other steps.</t>
  </si>
  <si>
    <t>Continue to Step 2.</t>
  </si>
  <si>
    <t>What was dragged?</t>
  </si>
  <si>
    <t>Ceil only</t>
  </si>
  <si>
    <t>Run ceiling inversion. Use Block A.</t>
  </si>
  <si>
    <t>Block A</t>
  </si>
  <si>
    <t>Floor only</t>
  </si>
  <si>
    <t>Run floor inversion. Use Block B.</t>
  </si>
  <si>
    <t>Block B</t>
  </si>
  <si>
    <t>Both</t>
  </si>
  <si>
    <t>Check F_target &lt; C_target. If yes, run Cramer solve. Use Block C.</t>
  </si>
  <si>
    <t>Neither</t>
  </si>
  <si>
    <t>Datum-only drag. Re-classify Shape State. Use Block E.</t>
  </si>
  <si>
    <t>Any hard stop? (Section 1)</t>
  </si>
  <si>
    <t>Trigger hit</t>
  </si>
  <si>
    <t>Hard stop. Show impossibility copy. No levers.</t>
  </si>
  <si>
    <t>All</t>
  </si>
  <si>
    <t>Single-lever feasibility (Section 2)</t>
  </si>
  <si>
    <t>Path bad</t>
  </si>
  <si>
    <t>Suppress that path. Elevate next-ranked path.</t>
  </si>
  <si>
    <t>All 3 single-lever paths infeasible?</t>
  </si>
  <si>
    <t>Show combo path only.</t>
  </si>
  <si>
    <t>6</t>
  </si>
  <si>
    <t>Combo infeasibility? (Section 3)</t>
  </si>
  <si>
    <t>Add warning label or fall through to 3-lever solve.</t>
  </si>
  <si>
    <t>7</t>
  </si>
  <si>
    <t>All paths resolved?</t>
  </si>
  <si>
    <t>Render copy blocks with injected variables. Append Studio CTA.</t>
  </si>
  <si>
    <t>Show: 'Your target shape isn't reachable with available levers. Studio can explore what's possible with your full account picture.'</t>
  </si>
  <si>
    <t>Fallback</t>
  </si>
  <si>
    <t>SECTION 7 — VARIABLE INJECTION REFERENCE</t>
  </si>
  <si>
    <t>Format</t>
  </si>
  <si>
    <t>{C_target}</t>
  </si>
  <si>
    <t>User ceiling drag</t>
  </si>
  <si>
    <t>$Xk/yr</t>
  </si>
  <si>
    <t>$202k/yr</t>
  </si>
  <si>
    <t>Round to nearest $1k</t>
  </si>
  <si>
    <t>{F_target}</t>
  </si>
  <si>
    <t>User floor drag</t>
  </si>
  <si>
    <t>$68k/yr</t>
  </si>
  <si>
    <t>{currentCeil}</t>
  </si>
  <si>
    <t>Forward formula</t>
  </si>
  <si>
    <t>$185k/yr</t>
  </si>
  <si>
    <t>Computed at render time</t>
  </si>
  <si>
    <t>{currentFloor}</t>
  </si>
  <si>
    <t>$57k/yr</t>
  </si>
  <si>
    <t>{ΔK}</t>
  </si>
  <si>
    <t>Inverse solve — contributions</t>
  </si>
  <si>
    <t>$X/yr</t>
  </si>
  <si>
    <t>$12,340/yr</t>
  </si>
  <si>
    <t>Show to nearest $100</t>
  </si>
  <si>
    <t>{ΔP}</t>
  </si>
  <si>
    <t>Inverse solve — portfolio</t>
  </si>
  <si>
    <t>$X</t>
  </si>
  <si>
    <t>$284,000</t>
  </si>
  <si>
    <t>Show to nearest $1,000</t>
  </si>
  <si>
    <t>{ΔY}</t>
  </si>
  <si>
    <t>Inverse solve — retire age</t>
  </si>
  <si>
    <t>X years</t>
  </si>
  <si>
    <t>3 years</t>
  </si>
  <si>
    <t>Integer only</t>
  </si>
  <si>
    <t>{newRetireAge}</t>
  </si>
  <si>
    <t>currentAge + Y + ΔY</t>
  </si>
  <si>
    <t>Age X</t>
  </si>
  <si>
    <t>Age 68</t>
  </si>
  <si>
    <t>Clamp max age 80</t>
  </si>
  <si>
    <t>{newFloor}</t>
  </si>
  <si>
    <t>Forward formula at new levers</t>
  </si>
  <si>
    <t>$74k/yr</t>
  </si>
  <si>
    <t>Side effect — ceiling drag</t>
  </si>
  <si>
    <t>{newCeil}</t>
  </si>
  <si>
    <t>$196k/yr</t>
  </si>
  <si>
    <t>Side effect — floor drag</t>
  </si>
  <si>
    <t>{requiredP}</t>
  </si>
  <si>
    <t>Y=0 inversion</t>
  </si>
  <si>
    <t>$3,673,000</t>
  </si>
  <si>
    <t>To nearest $1,000</t>
  </si>
  <si>
    <t>{surplus}</t>
  </si>
  <si>
    <t>|ΔP| when ΔP &lt;= 0</t>
  </si>
  <si>
    <t>$14k/yr</t>
  </si>
  <si>
    <t>Positive framing only</t>
  </si>
  <si>
    <t>{overGap}</t>
  </si>
  <si>
    <t>Datum minus currentCeil</t>
  </si>
  <si>
    <t>$17k/yr</t>
  </si>
  <si>
    <t>Block E — datum above ceiling</t>
  </si>
  <si>
    <t>{headroom}</t>
  </si>
  <si>
    <t>currentCeil minus Datum (or Datum minus currentFloor)</t>
  </si>
  <si>
    <t>$58k/yr</t>
  </si>
  <si>
    <t>Direction is context-dependent</t>
  </si>
  <si>
    <t>DESIGN — COPY BLOCKS</t>
  </si>
  <si>
    <t>BLOCK A — CEILING DRAGGED ONLY</t>
  </si>
  <si>
    <t>Field</t>
  </si>
  <si>
    <t>Sub-case</t>
  </si>
  <si>
    <t>HEADLINE</t>
  </si>
  <si>
    <t>All ceiling drags</t>
  </si>
  <si>
    <t>You pulled the ceiling. Here's what it takes to hold it.</t>
  </si>
  <si>
    <t>CONTEXT LINE</t>
  </si>
  <si>
    <t>Moving the ceiling {direction} by {deltaCeil_pct}% requires real lever movement — here are the three paths, ranked by practicality.</t>
  </si>
  <si>
    <t>{direction}=up/down; {deltaCeil_pct}=% change</t>
  </si>
  <si>
    <t>LEVER PATH 1 — Portfolio</t>
  </si>
  <si>
    <t>Feasible</t>
  </si>
  <si>
    <t>Add {deltaPortfolio_fmt} to your starting balance. At your horizon, portfolio is the most efficient ceiling lever — every dollar added moves the ceiling {portfolioCeilRatio_fmt} and the floor {portfolioFloorRatio_fmt}.</t>
  </si>
  <si>
    <t>{portfolioCeilRatio_fmt} and {portfolioFloorRatio_fmt} = formatted dollar-per-dollar ratios</t>
  </si>
  <si>
    <t>LEVER PATH 1 — Floor side effect</t>
  </si>
  <si>
    <t>Always shown</t>
  </si>
  <si>
    <t>Your floor would also move {floorSideEffect_portfolio_fmt} — it rises with the ceiling.</t>
  </si>
  <si>
    <t>Disclose floor side effect on all paths</t>
  </si>
  <si>
    <t>LEVER PATH 2 — Contributions</t>
  </si>
  <si>
    <t>Add {deltaContrib_fmt}/year to contributions. Contributions move the ceiling effectively but with a larger ceiling-to-floor ratio ({contribCeilRatio_fmt}:{contribFloorRatio_fmt}) — the floor rises less relative to the ceiling.</t>
  </si>
  <si>
    <t>LEVER PATH 2 — Floor side effect</t>
  </si>
  <si>
    <t>Your floor would move {floorSideEffect_contrib_fmt}.</t>
  </si>
  <si>
    <t>LEVER PATH 3 — Retire Age</t>
  </si>
  <si>
    <t>Delay retirement by {deltaYears_fmt} years. Time amplifies every other input — but it's non-linear. Each additional year past {currentRetireAge} yields a different ceiling gain.</t>
  </si>
  <si>
    <t>{deltaYears_fmt}=e.g. '2.4 years'; {currentRetireAge}=current planned retirement age</t>
  </si>
  <si>
    <t>LEVER PATH 3 — Floor side effect</t>
  </si>
  <si>
    <t>Your floor would also rise — by approximately {floorSideEffect_age_fmt}.</t>
  </si>
  <si>
    <t>COMBO PATH</t>
  </si>
  <si>
    <t>When no single lever is soft-feasible</t>
  </si>
  <si>
    <t>No single lever reaches this ceiling cleanly. A practical combination: add {comboPortfolio_fmt} to your balance and {comboContrib_fmt}/year to contributions. Together they close the gap without over-relying on either lever.</t>
  </si>
  <si>
    <t>Fire when all 3 single-lever soft limits exceeded</t>
  </si>
  <si>
    <t>INFEASIBLE — Hard Stop</t>
  </si>
  <si>
    <t>Hard feasibility fail</t>
  </si>
  <si>
    <t>This ceiling position can't be reached through any combination of the three standard levers within the modeled range. Try a smaller ceiling adjustment, or use Studio to explore options outside the Sketch's scope.</t>
  </si>
  <si>
    <t>Fire when Cramer determinant ≈ 0 or result is physically impossible</t>
  </si>
  <si>
    <t>STUDIO CTA</t>
  </si>
  <si>
    <t>Studio can test whether your actual account mix, tax sequencing, and income timing support this ceiling — or whether the path that looks clean here faces friction in practice.</t>
  </si>
  <si>
    <t>BLOCK B — FLOOR DRAGGED ONLY</t>
  </si>
  <si>
    <t>All floor drags</t>
  </si>
  <si>
    <t>You pulled the floor. Here's the lever cost of that move.</t>
  </si>
  <si>
    <t>A floor of {newFloor_fmt} — {deltaFloor_pct}% {direction} from your current floor — requires one of these lever moves.</t>
  </si>
  <si>
    <t>{newFloor_fmt}=formatted dollar amount; {deltaFloor_pct}=% change</t>
  </si>
  <si>
    <t>Add {deltaPortfolio_fmt} to your starting balance. Portfolio raises the floor by {portfolioFloorRatio_fmt} per dollar added — and always raises the ceiling too, by {portfolioCeilSideEffect_fmt}.</t>
  </si>
  <si>
    <t>Always disclose ceiling side effect on floor drags</t>
  </si>
  <si>
    <t>CEILING DISCLOSURE</t>
  </si>
  <si>
    <t>No lever raises the floor without also raising the ceiling. At your horizon, each dollar you add to reach this floor moves your ceiling {ceilFloorRatio_fmt} more.</t>
  </si>
  <si>
    <t>This disclosure is mandatory on ALL Block B paths</t>
  </si>
  <si>
    <t>Add {deltaContrib_fmt}/year to contributions. Contributions are less efficient at moving the floor than the ceiling — the ceiling-to-floor ratio at your horizon is approximately {contribCeilFloorRatio_fmt}:1.</t>
  </si>
  <si>
    <t>Delay retirement by {deltaYears_fmt} years to grow both boundaries. The floor lifts less than the ceiling with additional time — but consistently.</t>
  </si>
  <si>
    <t>No single lever feasible</t>
  </si>
  <si>
    <t>Reaching this floor with a single lever would require an outsized move. A more practical combination: add {comboPortfolio_fmt} to your balance and {comboContrib_fmt}/year to contributions.</t>
  </si>
  <si>
    <t>This floor level is outside what the model's levers can reach cleanly. Try a smaller adjustment, or take this to Studio where we can work with your actual account structure.</t>
  </si>
  <si>
    <t>Studio can test whether tax-efficient sequencing and income timing can structurally support a floor at this level — or whether there are gaps the Sketch can't see.</t>
  </si>
  <si>
    <t>BLOCK C — BOTH CEILING AND FLOOR DRAGGED (Cramer Solve)</t>
  </si>
  <si>
    <t>Dual drag, feasible</t>
  </si>
  <si>
    <t>You've set a specific shape. Here's the lever combination that gets you there.</t>
  </si>
  <si>
    <t>Ceiling at {newCeil_fmt} and floor at {newFloor_fmt} is a constrained target — it requires moving both portfolio and contributions simultaneously.</t>
  </si>
  <si>
    <t>Cramer solve determines ΔP and ΔK</t>
  </si>
  <si>
    <t>SOLUTION DISPLAY</t>
  </si>
  <si>
    <t>ΔP and ΔK both positive</t>
  </si>
  <si>
    <t>To reach this shape: add {deltaPortfolio_fmt} to your starting balance and {deltaContrib_fmt}/year to contributions. These two levers together solve for your ceiling and floor simultaneously.</t>
  </si>
  <si>
    <t>SOLUTION — ΔP positive, ΔK negative</t>
  </si>
  <si>
    <t>Contributions must decrease</t>
  </si>
  <si>
    <t>To reach this shape: add {deltaPortfolio_fmt} to your balance and reduce contributions by {deltaContrib_fmt}/year. The specific shape you've drawn requires less contribution weight and more lump-sum balance.</t>
  </si>
  <si>
    <t>Negative ΔK means reduce contributions</t>
  </si>
  <si>
    <t>SOLUTION — ΔP negative, ΔK positive</t>
  </si>
  <si>
    <t>Portfolio must decrease</t>
  </si>
  <si>
    <t>This shape requires a lower starting balance ({deltaPortfolio_fmt} less) and higher contributions ({deltaContrib_fmt}/year more). You're trading lump-sum for ongoing input.</t>
  </si>
  <si>
    <t>Negative ΔP means reduce portfolio — unusual; flag</t>
  </si>
  <si>
    <t>SIDE EFFECT NOTE</t>
  </si>
  <si>
    <t>All dual drags</t>
  </si>
  <si>
    <t>Note: retirement age is held constant in this solve. If either lever result seems impractical, extending retirement by even one year materially changes what's feasible.</t>
  </si>
  <si>
    <t>INFEASIBLE — Determinant</t>
  </si>
  <si>
    <t>det ≈ 0</t>
  </si>
  <si>
    <t>The shape you've drawn has ceiling and floor targets that move in the same ratio as the levers — there's no unique solution. Adjust one endpoint slightly and try again.</t>
  </si>
  <si>
    <t>det = a1×b2 − a2×b1 ≈ 0</t>
  </si>
  <si>
    <t>INFEASIBLE — Soft Limits</t>
  </si>
  <si>
    <t>ΔK &gt; $50K/yr or ΔP &gt; 2× portfolio</t>
  </si>
  <si>
    <t>Reaching both targets simultaneously requires lever moves outside practical range. Consider adjusting one endpoint, or use Studio to model this with your full account picture.</t>
  </si>
  <si>
    <t>Studio can test whether this specific shape is achievable given your actual account types, tax treatment, and income timing — and show the sequencing that gets you closest.</t>
  </si>
  <si>
    <t>BLOCK D — Y=0 (RETIRE TODAY — Contributions Collapsed)</t>
  </si>
  <si>
    <t>Y=0, ceiling dragged</t>
  </si>
  <si>
    <t>You're modeling retirement today. Contributions don't factor in — your portfolio is the only lever.</t>
  </si>
  <si>
    <t>At retirement, the ceiling is simply your portfolio times the withdrawal rate. To reach {newCeil_fmt}, you'd need a starting balance of {requiredPortfolio_fmt}.</t>
  </si>
  <si>
    <t>{requiredPortfolio_fmt} = C_target / 0.055</t>
  </si>
  <si>
    <t>SOLUTION</t>
  </si>
  <si>
    <t>Y=0, feasible</t>
  </si>
  <si>
    <t>That's {deltaPortfolio_fmt} {moreOrLess} than your current balance. Your floor would sit at {impliedFloor_fmt} — {portfolio} × 3.5%.</t>
  </si>
  <si>
    <t>{impliedFloor_fmt} = requiredPortfolio × 0.035</t>
  </si>
  <si>
    <t>INFEASIBLE</t>
  </si>
  <si>
    <t>Y=0, target too high</t>
  </si>
  <si>
    <t>At today's withdrawal rates, reaching {newCeil_fmt} would require a portfolio of {requiredPortfolio_fmt}. That's {deltaPortfolio_fmt} more than your current balance — this is outside what the Sketch can model from today's position.</t>
  </si>
  <si>
    <t>Y=0</t>
  </si>
  <si>
    <t>Studio can model whether your actual account structure, Social Security timing, and income sources support spending at this level — without requiring additional portfolio growth.</t>
  </si>
  <si>
    <t>BLOCK E — DATUM DRAGGED ONLY (Re-classify)</t>
  </si>
  <si>
    <t>TRIGGER</t>
  </si>
  <si>
    <t>Only datum moved; ceiling/floor unchanged</t>
  </si>
  <si>
    <t>No inverse math needed — re-run state classification with new datum position.</t>
  </si>
  <si>
    <t>Route to BASE state copy after re-classifying</t>
  </si>
  <si>
    <t>TRANSITION — Datum moves deeper into state</t>
  </si>
  <si>
    <t>Same state, different sub-zone</t>
  </si>
  <si>
    <t>Show updated Para 1 for new sub-zone. No lever copy needed.</t>
  </si>
  <si>
    <t>e.g. EXPANSIVE_FLOOR_SIDE → EXPANSIVE_CENTERED</t>
  </si>
  <si>
    <t>TRANSITION — Datum crosses state boundary upward</t>
  </si>
  <si>
    <t>e.g. EXPANSIVE → STRETCHED</t>
  </si>
  <si>
    <t>Your Datum has moved into {newStateName}. {newState_Para1_copy}</t>
  </si>
  <si>
    <t>TRANSITION — Datum crosses state boundary downward</t>
  </si>
  <si>
    <t>e.g. EXPANSIVE → GROUNDED</t>
  </si>
  <si>
    <t>STUDIO CTA — All datum drags</t>
  </si>
  <si>
    <t>Studio can test whether your accounts and income structure can actually support spending at {newDatum_fmt} — and what sequencing makes it most tax-efficient.</t>
  </si>
  <si>
    <t>DESIGN STATE REVERSAL MATRIX</t>
  </si>
  <si>
    <t>When a user drags a shape endpoint, this matrix identifies the Shape Change Type, routes to the correct lever class, and produces specific quantified copy. Gate all quantified outputs on Discover State completion (inputs required: current age, balance, contribution rate, planned retirement age).</t>
  </si>
  <si>
    <t>SECTION 1 — SHAPE CHANGE TYPE TAXONOMY</t>
  </si>
  <si>
    <t>Change Type</t>
  </si>
  <si>
    <t>What Changed</t>
  </si>
  <si>
    <t>Lever Class</t>
  </si>
  <si>
    <t>Copy Lead</t>
  </si>
  <si>
    <t>Quantification Gate</t>
  </si>
  <si>
    <t>TYPE 1 — Parallel Shift</t>
  </si>
  <si>
    <t>Ceiling AND floor both move up (or down) by similar percentage</t>
  </si>
  <si>
    <t>Overall shape height — geometry preserved</t>
  </si>
  <si>
    <t>Accumulation: contributions, starting balance, retire-age delay</t>
  </si>
  <si>
    <t>To reach a ceiling of {newCeil} and floor of {newFloor}, the plan needs more overall capacity.</t>
  </si>
  <si>
    <t>Requires current balance + contribution rate + retire age</t>
  </si>
  <si>
    <t>TYPE 2A — Floor Up Only</t>
  </si>
  <si>
    <t>Floor rises, ceiling roughly unchanged</t>
  </si>
  <si>
    <t>Shape spread narrows from below — more guarantee, less variance</t>
  </si>
  <si>
    <t>Conversion: SS delay, annuitization, pension elections</t>
  </si>
  <si>
    <t>Raising your floor to {newFloor} means converting portfolio into guaranteed income.</t>
  </si>
  <si>
    <t>Requires SS age, portfolio size, annuity rate assumptions</t>
  </si>
  <si>
    <t>TYPE 2B — Ceiling Up Only</t>
  </si>
  <si>
    <t>Ceiling rises, floor roughly unchanged</t>
  </si>
  <si>
    <t>Shape spread widens upward — more upside, more variance</t>
  </si>
  <si>
    <t>Risk/allocation shift: more equity, less fixed income/annuity</t>
  </si>
  <si>
    <t>Raising your ceiling to {newCeil} requires more exposure to market upside.</t>
  </si>
  <si>
    <t>Requires current allocation, risk tolerance, horizon</t>
  </si>
  <si>
    <t>TYPE 3 — Asymmetric Shift</t>
  </si>
  <si>
    <t>Ceiling and floor both move, but by different percentages</t>
  </si>
  <si>
    <t>Shape height AND geometry change simultaneously</t>
  </si>
  <si>
    <t>Combination: accumulation lever + conversion/allocation lever</t>
  </si>
  <si>
    <t>Reaching ceiling {newCeil} and floor {newFloor} requires two things working together.</t>
  </si>
  <si>
    <t>Requires all inputs — most complex solve</t>
  </si>
  <si>
    <t>SECTION 2 — MAGNITUDE BANDS + LEVER ROUTING</t>
  </si>
  <si>
    <t>Shape Change Type</t>
  </si>
  <si>
    <t>Magnitude Band</t>
  </si>
  <si>
    <t>Combo Required?</t>
  </si>
  <si>
    <t>Copy Template</t>
  </si>
  <si>
    <t>Small (3–9%)</t>
  </si>
  <si>
    <t>Contribution increase</t>
  </si>
  <si>
    <t>Block C — single lever: contributions</t>
  </si>
  <si>
    <t>Medium (10–15%)</t>
  </si>
  <si>
    <t>Retire-age delay</t>
  </si>
  <si>
    <t>Block C — combo: delay + contributions</t>
  </si>
  <si>
    <t>Large (&gt;15%)</t>
  </si>
  <si>
    <t>All 3 levers likely needed</t>
  </si>
  <si>
    <t>Fundamental design question</t>
  </si>
  <si>
    <t>Block C — combo + Studio escalation</t>
  </si>
  <si>
    <t>TYPE 2A — Floor Up</t>
  </si>
  <si>
    <t>SS delay (if eligible)</t>
  </si>
  <si>
    <t>Block B — SS delay specific</t>
  </si>
  <si>
    <t>Medium (10–14%)</t>
  </si>
  <si>
    <t>SS delay + partial annuity</t>
  </si>
  <si>
    <t>Portfolio conversion</t>
  </si>
  <si>
    <t>Block B — combo: SS + annuity</t>
  </si>
  <si>
    <t>Full annuitization path</t>
  </si>
  <si>
    <t>Allocation shift</t>
  </si>
  <si>
    <t>Block B — escalate to Studio</t>
  </si>
  <si>
    <t>TYPE 2B — Ceiling Up</t>
  </si>
  <si>
    <t>Allocation shift (more equity)</t>
  </si>
  <si>
    <t>Block A — allocation shift specific</t>
  </si>
  <si>
    <t>Block A — combo: delay + contributions</t>
  </si>
  <si>
    <t>Lump-sum addition</t>
  </si>
  <si>
    <t>Block A — combo + Studio escalation</t>
  </si>
  <si>
    <t>TYPE 3 — Asymmetric</t>
  </si>
  <si>
    <t>Any magnitude</t>
  </si>
  <si>
    <t>Cramer solve: ΔP + ΔK</t>
  </si>
  <si>
    <t>Retire-age as tertiary</t>
  </si>
  <si>
    <t>Block C (Cramer) — see DESIGN — INVERSE MATH</t>
  </si>
  <si>
    <t>SECTION 3 — LEVER COST TABLE (Every Lever Costs Something)</t>
  </si>
  <si>
    <t>Copy must name the cost, not just the benefit. Do not present levers as free choices.</t>
  </si>
  <si>
    <t>Benefit</t>
  </si>
  <si>
    <t>Cost (what the user gives up)</t>
  </si>
  <si>
    <t>Copy Framing</t>
  </si>
  <si>
    <t>Escalation Threshold</t>
  </si>
  <si>
    <t>Raises ceiling and floor simultaneously</t>
  </si>
  <si>
    <t>Present cash flow — less take-home now</t>
  </si>
  <si>
    <t>Adding {deltaK}/year raises your ceiling to {newCeil} — and reduces your take-home by {deltaK} until retirement.</t>
  </si>
  <si>
    <t>If ΔK &gt; $50K/yr → soft limit → escalate to combo</t>
  </si>
  <si>
    <t>Compounds all inputs longer; most powerful single lever</t>
  </si>
  <si>
    <t>Years of working life — cost is time, not money</t>
  </si>
  <si>
    <t>Delaying retirement by {deltaY} years reaches this ceiling — the cost is {deltaY} years of your window.</t>
  </si>
  <si>
    <t>If ΔY &gt; 15 years → soft limit → escalate to combo</t>
  </si>
  <si>
    <t>Portfolio lump-sum add</t>
  </si>
  <si>
    <t>Raises shape efficiently via starting balance</t>
  </si>
  <si>
    <t>Opportunity cost of capital deployed elsewhere</t>
  </si>
  <si>
    <t>Adding {deltaP} to your starting balance reaches this ceiling — that capital leaves your current allocation immediately.</t>
  </si>
  <si>
    <t>If ΔP &gt; 2× portfolio → hard stop</t>
  </si>
  <si>
    <t>SS delay</t>
  </si>
  <si>
    <t>Raises floor guarantee permanently</t>
  </si>
  <si>
    <t>Foregone SS income during delay years</t>
  </si>
  <si>
    <t>Delaying Social Security from {currentSSAge} to {newSSAge} raises your floor by ~{ssGain}/year — at the cost of {delayYears} years of benefits foregone.</t>
  </si>
  <si>
    <t>If past age 70 → cannot delay further → escalate</t>
  </si>
  <si>
    <t>Annuitization</t>
  </si>
  <si>
    <t>Raises floor via guaranteed income contract</t>
  </si>
  <si>
    <t>Portfolio liquidity — that capital is no longer accessible</t>
  </si>
  <si>
    <t>Converting {annuityAmount} of portfolio to an income contract adds ~{annuityIncome}/year to your floor — permanently, without liquidity.</t>
  </si>
  <si>
    <t>If floor target still unmet → combo with SS delay</t>
  </si>
  <si>
    <t>Raises ceiling by increasing equity exposure</t>
  </si>
  <si>
    <t>Increased variance — floor may drop in stress scenarios</t>
  </si>
  <si>
    <t>Shifting toward more equity raises your modeled ceiling to {newCeil} — but also widens the shape, which may lower your floor.</t>
  </si>
  <si>
    <t>Always disclose floor impact of allocation shift</t>
  </si>
  <si>
    <t>SECTION 4 — STARTING SHAPE vs. ENDING SHAPE (Different Instruments)</t>
  </si>
  <si>
    <t>Adjusting the retirement endpoint (right edge of diagram) = Distribution Engineering. Adjusting the starting shape (left edge / today) = Accumulation Engineering. These are different modes — do not route them to the same lever copy.</t>
  </si>
  <si>
    <t>Mode</t>
  </si>
  <si>
    <t>What User Is Asking</t>
  </si>
  <si>
    <t>Example Copy</t>
  </si>
  <si>
    <t>ENDING SHAPE (Retirement endpoint)</t>
  </si>
  <si>
    <t>I want my retirement ceiling at $202K and floor at $95K</t>
  </si>
  <si>
    <t>Distribution engineering: SS delay, annuity, allocation, retire-age</t>
  </si>
  <si>
    <t>To reach a ceiling of $202K at retirement, you'd need to delay retirement by 2 years or add $183K to your starting balance.</t>
  </si>
  <si>
    <t>Standard DESIGN mode. Routes to INVERSE MATH + COPY BLOCKS.</t>
  </si>
  <si>
    <t>STARTING SHAPE (Today's position)</t>
  </si>
  <si>
    <t>I want my ceiling to be $100K right now, on track for retirement</t>
  </si>
  <si>
    <t>Accumulation engineering: contribution increase, allocation shift, lump sum today</t>
  </si>
  <si>
    <t>To show a $100K ceiling today, you'd need to add $X/month to contributions or shift your allocation toward Y%.</t>
  </si>
  <si>
    <t>Flag as separate mode. Different copy blocks needed. Do not route to same DESIGN blocks as endpoint.</t>
  </si>
  <si>
    <t>QUANTIFICATION GATE — All lever quantities (ΔK, ΔP, ΔY, SS delay specifics) require Discover State completion. Gate: current age, current balance, contribution rate, planned retirement age. Without these, provide direction + magnitude band only. Never fabricate specific numbers.</t>
  </si>
  <si>
    <t xml:space="preserve">Good years are doing more of the heavy lifting now. The plan reaches this target, but mostly when markets cooperate. </t>
  </si>
  <si>
    <t>Slowly raise your spending target and watch where the plan starts to feel it. That number — where things first get tight — is worth knowing no matter what you decide. If you want to keep spending where it is, name what you're doing with the extra: retiring earlier, leaving more for family, or holding a larger buffer against healthcare costs or a bad stretch of early returns.</t>
  </si>
  <si>
    <t>Studio can confirm whether your actual accounts and tax situation hold this position — or whether some of that projected surplus closes when real numbers replace the averages.</t>
  </si>
  <si>
    <t>The plan covers your spending even in a bad scenario — and there's real room above before things get tight.</t>
  </si>
  <si>
    <t>You're in a safe position, but safe has a cost: there's meaningful capacity above your target that the plan can support and you're not using. Whether that's by design or default is worth knowing.</t>
  </si>
  <si>
    <t>The conservative scenario just barely covers your spending. There's almost no buffer between your target and the plan's stress case.</t>
  </si>
  <si>
    <t>Raise your spending target and watch where resistance first appears — that's roughly where moderate return paths stop being enough to carry you comfortably. If you'd rather stay where you are, decide what the headroom above is doing: buying a buffer against a bad sequence of returns, funding an earlier retirement, or preserving something to leave behind. Name it so it's intentional.</t>
  </si>
  <si>
    <t>Studio can confirm whether your actual withdrawal order, account types, and Social Security timing reinforce this conservative position — or whether real-world variables quietly absorb some of that apparent headroom.</t>
  </si>
  <si>
    <t>Your spending is well-supported — the plan carries it even under stress, with a lot of room still above.</t>
  </si>
  <si>
    <t>The range is wide because real variables — taxes, account types, withdrawal timing — aren't fully modeled yet. You're using the conservative end of what's available here.</t>
  </si>
  <si>
    <t>Try raising your spending to see how far the plan can carry it before things tighten. If you'd rather stay conservative, decide what you're keeping that room for — an earlier exit, a buffer for bad markets, or something to pass on.</t>
  </si>
  <si>
    <t>Your spending sits in the middle of what the plan can support. Neither edge is close, and the plan works across most futures.</t>
  </si>
  <si>
    <t>The range is wide because real variables aren't fully modeled yet. Right now the plan isn't leaning heavily toward stress or surplus — outcomes are roughly balanced around your target.</t>
  </si>
  <si>
    <t>The plan gets you there, but it's increasingly relying on things going well. Average returns, rather than strong ones, start creating pressure at this level.</t>
  </si>
  <si>
    <t>Back the spending down a bit and watch how quickly the pressure eases — even a modest reduction puts more of the plan's paths to work for you. Or hold here and test whether adding more savings, more time, or more capital creates enough distance to make this position comfortable. The number to know isn't the upper limit itself — it's how far you are from it.</t>
  </si>
  <si>
    <t>Studio can narrow the range by modeling your actual account types, tax sequencing, withdrawal order, and Social Security timing. A narrower range means a more specific answer about where your spending actually lands within it.</t>
  </si>
  <si>
    <t>The plan can reach this spending level — but only when things go well. Most scenarios land below it.</t>
  </si>
  <si>
    <t>The plan barely clears this spending level, and only in its most favorable scenario. Almost no margin remains above.</t>
  </si>
  <si>
    <t>This isn't a bad position — it's an ambitious one. Getting here requires returns and timing to cooperate across most of retirement, not just some of it. Average conditions start creating real pressure at this level.</t>
  </si>
  <si>
    <t>Lower your spending by a modest amount and watch how quickly more scenarios start carrying it — even a small reduction can move this from "requires good luck" to "works across most futures." Or hold here and test whether more savings, more capital, or more time pulls the rest of the plan's scenarios up to meet it. The honest question: is this the number you want to live at, or the ceiling you're testing to see if you can reach it? Both are useful. Only one is a retirement plan.</t>
  </si>
  <si>
    <t>Studio can test whether your actual tax structure, account types, withdrawal order, and Social Security timing hold this spending level across the full range — not just the best scenarios. Those details get averaged away in Sketch. In Studio, they can shift which scenarios carry you and by how much.</t>
  </si>
  <si>
    <t>No version of this plan currently supports this level of spending. The gap between what you're targeting and what the plan produces is real and will require something to move.</t>
  </si>
  <si>
    <t>The plan doesn't quite reach this spending level yet — the gap is small, and one change may close it.</t>
  </si>
  <si>
    <t>That's not a judgment — it's just math. The current mix of savings, time, and target spending doesn't add up yet. Something has to change: the inputs go up, the target comes down, or both. The useful question is which lever moves the ceiling the most in your specific situation.</t>
  </si>
  <si>
    <t>Move one lever at a time — more savings, more contributions, a later retirement, or a lower spending target — and watch which one closes the gap fastest. The most powerful lever in your situation won't always be the obvious one. Or bring the target down to where the plan currently tops out — that number tells you exactly what your current inputs produce. Not what you should want. What you have right now.</t>
  </si>
  <si>
    <t>Studio can test whether real-world variables — tax-advantaged accounts, withdrawal sequencing, Social Security timing, outside income — close part of this gap before any lever needs to move. Sketch holds those constant. Studio models them. Sometimes they make the difference between a gap that needs a real change and one that doesn't.</t>
  </si>
  <si>
    <t>The plan doesn't produce this level of income in any scenario it models — not a bad one, not a good one. There's a {aboveCeil} gap between what you're targeting and what the plan can currently deliver.</t>
  </si>
  <si>
    <t>Something has to move. Retirement age closes more of that gap per move than anything else — test it first. If the age isn't flexible, more savings or a lower spending target will get you there, but it'll take more of both.</t>
  </si>
  <si>
    <t>Studio can check whether your actual account structure or Social Security timing closes part of that gap before anything else needs to change.</t>
  </si>
  <si>
    <t>Closer — but the plan still doesn't reach this level. You're now {aboveCeil} above what the plan can deliver, down from where you started.</t>
  </si>
  <si>
    <t>Keep going, or try a different lever. The spending level where the plan first starts to work is {ceilK} — that's your anchor. Everything above it requires something else to move too.</t>
  </si>
  <si>
    <t>Studio can check whether your actual account mix or income sources push that ceiling up before spending needs to come down further.</t>
  </si>
  <si>
    <t>The plan now reaches this level — but only when things go well. You're {gapToCeil} below the ceiling, which means you're in range, but without much room to spare if returns come in average or markets get rough early.</t>
  </si>
  <si>
    <t>This is achievable, not comfortable. A modest spending reduction — even {gapToCeil} — moves you into territory the plan carries across most scenarios, not just the favorable ones. Worth knowing the difference before locking in a number.</t>
  </si>
  <si>
    <t>Studio can test whether your actual tax structure and account types hold this level across the full range — not just the plan's best-case paths.</t>
  </si>
  <si>
    <t>The plan now carries this comfortably — {gapToFloor} of cushion below and {gapToCeil} of room above. Most scenarios support it, not just the favorable ones.</t>
  </si>
  <si>
    <t>This is a structurally sound level. If it works for your life, you don't need to move further. If you want to test how much higher you can go, the ceiling is {gapToCeil} away — try it in small increments.</t>
  </si>
  <si>
    <t>Studio can narrow that range by modeling your actual accounts and tax sequencing — a tighter range gives you a more precise read on where you actually land.</t>
  </si>
  <si>
    <t>The plan covers this in even its worst-case scenario. That's real security — but you've also left {gapToCeil} of capacity on the table that the plan can support and you're not using.</t>
  </si>
  <si>
    <t>The question isn't whether this is safe — it is. It's whether it's the right amount of safe. Try raising the spending target gradually to see where the plan's stress-case starts to feel it.</t>
  </si>
  <si>
    <t>Studio can confirm whether the real-world picture — accounts, withdrawals, Social Security — reinforces this position or absorbs some of that headroom.</t>
  </si>
  <si>
    <t>Even in a bad scenario, the plan projects {floorAboveSpend} more income than you're asking for. The plan is set up to produce significantly more than this target.</t>
  </si>
  <si>
    <t>This is useful as a floor reference — it tells you the plan's absolute minimum. But it's not a retirement income target. Walk the spending back up toward your real number and see where the plan's support starts to change.</t>
  </si>
  <si>
    <t>Studio can confirm whether real-world variables preserve this position — the Sketch models it as pure surplus.</t>
  </si>
  <si>
    <t>The gap just got wider. The plan now needs to produce {aboveCeil} more than it currently can — in any scenario.</t>
  </si>
  <si>
    <t>Moving spending up from an already overextended position makes every other lever work harder. The fastest path back is retirement age — pull that first and see how much ground it covers.</t>
  </si>
  <si>
    <t>Studio can check whether your actual accounts or income sources move the ceiling at all before other levers have to change.</t>
  </si>
  <si>
    <t>More capital moved the ceiling up by {deltaCeilK} — you're now {aboveCeil} from the plan being able to support this. That's real progress.</t>
  </si>
  <si>
    <t>Keep going or combine it with another lever. If retirement age has any flexibility, pairing these two closes the gap faster than either one alone.</t>
  </si>
  <si>
    <t>Studio can test whether that ceiling growth holds across your actual account types — the same portfolio increase translates differently through pre-tax, Roth, and taxable accounts.</t>
  </si>
  <si>
    <t>More capital pushed the ceiling past your spending target — the plan now reaches it, but only under favorable conditions. You're {gapToCeil} inside the plan's range.</t>
  </si>
  <si>
    <t>You're in range, but the plan is working hard to get there. A bit more capital — or a slight spending reduction — would give the plan enough room to carry this across average conditions, not just good ones.</t>
  </si>
  <si>
    <t>Studio can confirm whether this ceiling holds under your actual account structure — pre-tax vs. Roth vs. taxable all affect how much of the growth is usable at retirement.</t>
  </si>
  <si>
    <t>More capital moved the plan well past your spending target — {gapToFloor} of cushion below, {gapToCeil} of room above. The plan now carries this across most scenarios, not just the good ones.</t>
  </si>
  <si>
    <t>Capital did the work here. If this spending level is what you want, you're in a solid position. Test whether there's room above — the ceiling is {gapToCeil} away.</t>
  </si>
  <si>
    <t>Studio can confirm this holds across your actual account mix — Roth, pre-tax, and taxable all respond differently to portfolio growth.</t>
  </si>
  <si>
    <t>Less capital moved the ceiling further away — the gap is now {aboveCeil}. The plan can produce less, and you're asking for more than it can deliver.</t>
  </si>
  <si>
    <t>This is the direction to avoid. The ceiling needs to rise to close that gap — which means more capital, more time, or both.</t>
  </si>
  <si>
    <t>Studio can model the minimum starting portfolio to support this spending level across your actual account types.</t>
  </si>
  <si>
    <t>Working {yearsDelta} more year(s) grew the ceiling by {deltaCeilK} — you're now {aboveCeil} away from the plan supporting this. Time is doing real work here.</t>
  </si>
  <si>
    <t>Keep extending to find the age where the plan first reaches this spending level — that number is worth knowing. It's the minimum retirement age at which this target becomes achievable at current savings.</t>
  </si>
  <si>
    <t>Studio can model whether that age also improves your Social Security timing and tax positioning — effects the Sketch doesn't capture.</t>
  </si>
  <si>
    <t>Working {yearsDelta} more year(s) pushed the ceiling past your spending target. The plan now reaches this level — but it needs good conditions to get there. You're {gapToCeil} inside the range.</t>
  </si>
  <si>
    <t>Time got you in range. A little more of it — or a small spending reduction — moves you from "works when things go well" to "works across most futures."</t>
  </si>
  <si>
    <t>Studio can model whether retiring at {newRetire} also creates Social Security or tax bracket advantages that improve the picture further.</t>
  </si>
  <si>
    <t>Working {yearsDelta} more year(s) moved the plan well past your spending target — {gapToFloor} of cushion below, {gapToCeil} above. The plan now carries this comfortably across most scenarios.</t>
  </si>
  <si>
    <t>Time is your most powerful lever and it showed here. If retiring at {newRetire} is realistic, this is a strong position. If it's not, test how far the other levers can compensate.</t>
  </si>
  <si>
    <t>Studio can model whether age {newRetire} unlocks Social Security or tax bracket opportunities that go beyond what the Sketch shows.</t>
  </si>
  <si>
    <t>Retiring {yearsDelta} year(s) earlier reduced the ceiling by {deltaCeilK} — the gap is now {aboveCeil}. Less time to grow, less the plan can produce.</t>
  </si>
  <si>
    <t>Earlier retirement and an already-stretched spending target pull in opposite directions. Something has to give — either the retirement date moves later or the spending target moves down.</t>
  </si>
  <si>
    <t>Studio can model the minimum retirement age at which this spending level becomes achievable under real conditions.</t>
  </si>
  <si>
    <t>Higher contributions moved the ceiling up by {deltaCeilK} — you're now {aboveCeil} away from the plan supporting this. Savings are moving the needle, just not all the way yet.</t>
  </si>
  <si>
    <t>Find the contribution rate where the ceiling first meets this spending level. Or pair higher contributions with another lever — retirement age in particular — to close the remaining gap faster.</t>
  </si>
  <si>
    <t>Studio can test whether those contributions are better structured through Roth or pre-tax accounts — the account type affects how much of the added ceiling is actually accessible at retirement.</t>
  </si>
  <si>
    <t>Higher contributions moved the ceiling well past your spending target — {gapToFloor} of cushion below, {gapToCeil} above. Savings closed the gap and the plan now carries this across most scenarios.</t>
  </si>
  <si>
    <t>Savings did the work. Make sure the contribution rate is sustainable — and that it's running through the right account types to maximize what's actually accessible at retirement.</t>
  </si>
  <si>
    <t>Studio can test whether the contribution structure is optimal — Roth vs. traditional timing affects how much of that ceiling is accessible when you need it.</t>
  </si>
  <si>
    <t>Lower contributions reduced the ceiling to {newCeilK} — the gap is now {aboveCeil}. Less savings, less the plan can produce.</t>
  </si>
  <si>
    <t>This is the direction to avoid. To close the gap, savings need to hold or increase — reducing them widens a gap that was already there.</t>
  </si>
  <si>
    <t>Studio can model the minimum contribution rate to support this spending level under real conditions.</t>
  </si>
  <si>
    <t>More runway grew the ceiling to {newCeilK} — {yearsDelta} additional year(s) of compounding is doing real work. The gap has narrowed and you're now {aboveCeil} away from the plan supporting this.</t>
  </si>
  <si>
    <t>Find the planning horizon where the ceiling first meets this spending level — that's the minimum runway at which this target becomes achievable at current savings and retirement age.</t>
  </si>
  <si>
    <t>Studio can model what a longer runway unlocks at the account level — Roth conversion windows, contribution room, and Social Security timing all shift with more time.</t>
  </si>
  <si>
    <t>Less runway reduced the ceiling to {newCeilK} — the gap is now {aboveCeil}. Shorter timeline, less compounding, less the plan can deliver.</t>
  </si>
  <si>
    <t>A shorter horizon widens a gap that was already there. The inputs need more time to work, not less.</t>
  </si>
  <si>
    <t>Studio can test whether a shorter timeline creates constraints — catch-up contribution limits, Social Security timing — that make the gap harder to close than the Sketch suggests.</t>
  </si>
  <si>
    <t>Studio can verify whether real account variables have already absorbed some of this surplus — the Sketch models it as pure headroom.</t>
  </si>
  <si>
    <t>You're closer, but the plan's most conservative scenario still projects {floorAboveSpend} more than you're asking for. The floor hasn't come down to meet your target yet.</t>
  </si>
  <si>
    <t>Keep raising the spending target toward {floorK} — that's where the plan's floor sits right now. That's the level the plan already supports in its worst-case scenario. Everything below it is capacity you're leaving unused.</t>
  </si>
  <si>
    <t>Your spending now reaches the plan's conservative floor — the plan's stress-case scenario supports this lifestyle. There's {gapToCeil} between where you are and the most the plan can deliver.</t>
  </si>
  <si>
    <t>The floor holds this level. But {gapToCeil} of ceiling room sits above you — test whether you actually want to live at the floor, or whether there's a higher number worth working toward.</t>
  </si>
  <si>
    <t>Studio can confirm whether your actual withdrawal sequencing and account types preserve this floor alignment, or whether some of that headroom is already absorbed by real-world variables.</t>
  </si>
  <si>
    <t>Your spending moved inside the range the plan supports — {gapToFloor} above the floor and {gapToCeil} below the ceiling. Most scenarios carry this lifestyle, not just the favorable ones.</t>
  </si>
  <si>
    <t>This is a structurally solid position. The ceiling is {gapToCeil} above — test whether you want to push toward it or stay here with room on both sides.</t>
  </si>
  <si>
    <t>Studio can test whether this position holds through your actual tax sequencing and withdrawal architecture — variables the Sketch holds constant.</t>
  </si>
  <si>
    <t>Your spending reached the upper range of what the plan can deliver — the ceiling is only {gapToCeil} above your target. The plan gets there, but it's relying on conditions going well.</t>
  </si>
  <si>
    <t>You're {gapToCeil} below the ceiling — a small reduction from here puts significantly more of the plan's scenarios to work for you. Worth knowing whether the extra spending is worth the reduced reliability.</t>
  </si>
  <si>
    <t>Studio can test whether your actual account structure and Social Security timing hold this upper-edge target across the full range — not just the plan's most favorable paths.</t>
  </si>
  <si>
    <t>Your spending crossed above what the plan can produce — you're now {aboveCeil} above the ceiling. No scenario in the model reaches this level at current inputs.</t>
  </si>
  <si>
    <t>The ceiling sits at {ceilK}. Pull spending back to that level to find the plan's current maximum, or test which lever closes the {aboveCeil} gap fastest. Retirement age typically moves the ceiling the most per adjustment.</t>
  </si>
  <si>
    <t>The floor was already {floorAboveSpend} above your target — pulling spending lower pushed it to {newFloorAboveSpend} above. The plan over-delivers by an even wider margin now.</t>
  </si>
  <si>
    <t>Studio can test whether real-world variables preserve this surplus or quietly absorb some of it.</t>
  </si>
  <si>
    <t>Adding capital raised the floor by {deltaFloorK} — which moved it further above your spending, not closer to it. The surplus grew to {floorAboveSpend}. More money in the plan means more the plan projects, and your spending didn't move to match it.</t>
  </si>
  <si>
    <t>This is the paradox of this position: every dollar you add to the plan widens the gap rather than closing it. The only way capital helps here is if you raise your spending target to meet what the plan can now produce. Try raising spending to {floorK} — that's where the floor now sits.</t>
  </si>
  <si>
    <t>Studio can test whether additional capital in tax-advantaged structures compounds differently against the floor — the real-world effect may differ from what the Sketch projects.</t>
  </si>
  <si>
    <t>Reducing capital brought the floor down — but it still sits {floorAboveSpend} above your spending. The surplus narrowed but the plan still over-delivers at your current target.</t>
  </si>
  <si>
    <t>The floor is at {floorK} — your target needs to reach that level, or the portfolio needs to come down further. Raising spending closes this gap without sacrificing plan capacity.</t>
  </si>
  <si>
    <t>Studio can model how portfolio reduction affects the real-world floor versus the Sketch's averaged projection.</t>
  </si>
  <si>
    <t>Reducing the portfolio brought the floor down to your spending level — the plan's conservative scenario now carries this lifestyle. The ceiling compressed too, leaving {gapToCeil} above your target.</t>
  </si>
  <si>
    <t>The floor meets the target, but you gave up {gapToCeil} of ceiling room to get here. Ask whether that trade-off makes sense — or whether raising spending toward {floorK} would have gotten you to the same place without shrinking the plan.</t>
  </si>
  <si>
    <t>A large portfolio reduction contracted the plan enough to bracket your spending — {gapToFloor} below the floor and {gapToCeil} below the ceiling. The plan now carries your lifestyle across a range of scenarios.</t>
  </si>
  <si>
    <t>The plan now fits your target — but check the ceiling. You have {gapToCeil} of room above, and the plan got here by shrinking, not growing. Make sure the compressed range still gives you enough upside.</t>
  </si>
  <si>
    <t>Studio can test whether this contracted position holds against your actual tax sequencing and income sources.</t>
  </si>
  <si>
    <t>Higher contributions raised the floor by {deltaFloorK} — widening the gap to {floorAboveSpend}. More savings grew what the plan projects, which moved the floor further above your spending rather than toward it.</t>
  </si>
  <si>
    <t>Same paradox as capital: more savings grows the plan upward, not toward your target. The floor now sits at {floorK} — raise your spending to meet it, or those contributions are building capacity you're not planning to use.</t>
  </si>
  <si>
    <t>Studio can test whether Roth vs. traditional contributions compound differently against the floor — the account type affects how much of this growth is accessible at retirement.</t>
  </si>
  <si>
    <t>Lower contributions reduced what the plan projects — enough that the floor dropped to your spending level. The plan's conservative scenario now aligns with your lifestyle. The ceiling sits {gapToCeil} above.</t>
  </si>
  <si>
    <t>The floor now aligns with your target — but you reduced savings to get there. Check whether {gapToCeil} of ceiling room above still feels adequate, and whether raising spending would have achieved the same alignment without reducing your contributions.</t>
  </si>
  <si>
    <t>Studio can model whether reduced contributions still support this position through your actual account structure and sequencing.</t>
  </si>
  <si>
    <t>More time raised the floor by {deltaFloorK} — pushing it to {floorK}, now {floorAboveSpend} above your spending. A later retirement means more compounding, which means the plan projects more — but your target didn't move to match it.</t>
  </si>
  <si>
    <t>More runway grows the plan, not toward your lifestyle. The floor is now at {floorK} — if you're working longer, test whether your spending target should rise to reflect what that extra time is producing. Otherwise you're building capacity you're not planning to use.</t>
  </si>
  <si>
    <t>Studio can test whether a later retirement also shifts Social Security timing and tax-sequencing windows in ways that move the real-world floor separately from the Sketch.</t>
  </si>
  <si>
    <t>Retiring slightly sooner reduced the floor by {deltaFloorK} — but it still sits {floorAboveSpend} above your spending. Less runway helped, but not enough to close the gap.</t>
  </si>
  <si>
    <t>The floor is at {floorK}. Keep pulling the retirement date earlier to find where the floor first drops to meet your target — or raise spending to meet the floor where it is now.</t>
  </si>
  <si>
    <t>Studio can test whether earlier retirement changes withdrawal sequencing and Social Security timing in ways the Sketch doesn't capture.</t>
  </si>
  <si>
    <t>Retiring significantly earlier compressed the plan enough that the floor dropped to your spending level. The plan's conservative scenario now carries your lifestyle — with {gapToCeil} of ceiling room above.</t>
  </si>
  <si>
    <t>Time did the work here by shrinking, not growing. Make sure this retirement date is actually what you want — and check that {gapToCeil} of ceiling room still feels like enough range for your retirement.</t>
  </si>
  <si>
    <t>Studio can model whether this earlier retirement date affects Social Security benefit timing and income sequencing in ways that shift the real-world floor.</t>
  </si>
  <si>
    <t>Retiring much earlier compressed the plan enough to bracket your spending — {gapToFloor} below the floor and {gapToCeil} below the ceiling. The plan now carries your lifestyle across a range of scenarios.</t>
  </si>
  <si>
    <t>A significant structural shift. Check whether {gapToCeil} of ceiling room is adequate — and whether this retirement date is actually realistic for your situation.</t>
  </si>
  <si>
    <t>Studio can test whether this compressed timeline supports your spending through real Social Security and withdrawal sequencing — variables the Sketch holds constant.</t>
  </si>
  <si>
    <t>A shorter runway means the plan projects less — the floor dropped {deltaFloorK} to reach your spending level. The plan's conservative scenario now aligns with your lifestyle, with {gapToCeil} above.</t>
  </si>
  <si>
    <t>The timeline shrank the plan around your target. Confirm this reflects your actual situation — and check whether {gapToCeil} of ceiling room above feels like enough range for your retirement.</t>
  </si>
  <si>
    <t>Studio can model whether fewer compounding years change how real account balances project against the Sketch's floor — the practical floor may differ meaningfully.</t>
  </si>
  <si>
    <t>A significantly shorter runway contracted the plan enough to bracket your spending — {gapToFloor} below the floor and {gapToCeil} below the ceiling. The plan went from over-building to carrying your target across a range of scenarios.</t>
  </si>
  <si>
    <t>Confirm this timeline is actually accurate — if the age input doesn't reflect reality, neither does this position. If it does, check whether {gapToCeil} of ceiling room gives you enough range.</t>
  </si>
  <si>
    <t>More runway grew the floor by {deltaFloorK} — pushing it to {floorK}, now {floorAboveSpend} above your spending. Being younger means more compounding time, and more compounding time means the plan over-delivers by a wider margin.</t>
  </si>
  <si>
    <t>A longer timeline grows the plan upward, not toward your target. If you have many years to retirement, your spending target should scale with the plan's growing capacity — the floor at {floorK} is what your plan already projects in its worst case.</t>
  </si>
  <si>
    <t>Studio can model whether additional compounding years open Roth conversion windows and Social Security delay opportunities that shift the real-world floor separately from the Sketch.</t>
  </si>
  <si>
    <t>Two levers moved — more capital raised the floor by {deltaFloorK} while higher spending rose toward it. They offset each other enough to land at the floor's edge, with {gapToCeil} of ceiling room above.</t>
  </si>
  <si>
    <t>Check which move did more work. If the spending increase alone would have closed the {floorAboveSpend} gap, the added capital may have made closing it harder — raising the floor at the same time the target was climbing toward it.</t>
  </si>
  <si>
    <t>Studio can test whether the capital addition and higher spending target interact differently through real account types and tax sequencing.</t>
  </si>
  <si>
    <t>Higher contributions raised the floor while higher spending rose to meet it — the opposing forces resolved inside the plan's supported range, with {gapToFloor} below the floor and {gapToCeil} below the ceiling.</t>
  </si>
  <si>
    <t>Both levers moved in structurally opposite directions. Test each one separately — the contribution increase likely widened the gap initially, requiring the spending increase to resolve it. Know which one is actually doing the work.</t>
  </si>
  <si>
    <t>Studio can model how contribution level and spending target interact through real withdrawal sequencing.</t>
  </si>
  <si>
    <t>A later retirement raised the floor by {deltaFloorK} while higher spending rose toward it — the opposing moves netted out at the floor's edge, with {gapToCeil} of ceiling room above.</t>
  </si>
  <si>
    <t>More runway was working against you here — it raised the floor while you were trying to reach it. Test the spending increase alone to see if it would have closed the gap without needing the extra time.</t>
  </si>
  <si>
    <t>Studio can test whether a later retirement and higher spending interact through Social Security timing and income sequencing — variables the Sketch holds constant.</t>
  </si>
  <si>
    <t>Two levers moved in the same direction — less capital and less time both reduced what the plan projects, dropping the floor by {deltaFloorK} to meet your spending level. Both forces worked together, landing at the floor's edge with {gapToCeil} above.</t>
  </si>
  <si>
    <t>Both compression levers worked together efficiently — but they also compressed the ceiling. Check that {gapToCeil} of room above is adequate before committing to both changes simultaneously.</t>
  </si>
  <si>
    <t>Studio can model whether reduced portfolio and earlier retirement interact with withdrawal sequencing to produce a tighter ceiling in real accounts than the Sketch shows.</t>
  </si>
  <si>
    <t>You're closer to the plan's interior, but still near the floor — the ceiling sits {gapToCeil} above your target. The floor still carries the weight here; you haven't moved far enough to change that yet.</t>
  </si>
  <si>
    <t>The ceiling is {gapToCeil} away. Test how far the target can rise before the plan starts to show pressure — that number tells you how much range you actually have above where you're sitting now.</t>
  </si>
  <si>
    <t>Your spending crossed the floor's edge and moved into the plan's interior — {gapToFloor} above the floor, {gapToCeil} below the ceiling. The plan carries this lifestyle across most scenarios now, not just conservative ones.</t>
  </si>
  <si>
    <t>You have {gapToCeil} of ceiling room above. This is a structurally solid position — test whether you want to push higher or stay here with room on both sides.</t>
  </si>
  <si>
    <t>Your spending moved all the way to the upper edge — from the floor's edge to {gapToCeil} below the ceiling. The plan reaches this level, but only when conditions cooperate. That's a long way from where you started.</t>
  </si>
  <si>
    <t>You're {gapToCeil} below the ceiling. The plan gets here through its best paths — a modest reduction carries more of them. Know whether this position is intentional or whether it's worth pulling back slightly for more reliability.</t>
  </si>
  <si>
    <t>Your spending moved past the ceiling — from the floor's edge to {aboveCeil} above the plan's maximum. No scenario in the model reaches this level at current inputs.</t>
  </si>
  <si>
    <t>The ceiling sits at {ceilK}. Pull spending back to that level to find the plan's current maximum, or test which lever closes the {aboveCeil} gap fastest. Retirement age typically moves the ceiling the most.</t>
  </si>
  <si>
    <t>Lowering your spending moved it below the floor entirely — the plan's most conservative scenario now projects {floorAboveSpend} more than you're asking for. You went from the floor's edge to below it.</t>
  </si>
  <si>
    <t>The floor sits at {floorK}. That's what the plan produces in its worst case — and it exceeds your target by {floorAboveSpend}. Either this is intentional conservatism, or there's capacity worth exploring.</t>
  </si>
  <si>
    <t>Studio can test whether capital in tax-advantaged accounts compounds against the real-world floor differently than the Sketch model projects.</t>
  </si>
  <si>
    <t>This is the TIGHT zone risk: capital growth lifts the floor faster than it helps. If the floor moved above your target, it wasn't the portfolio that was the problem — test raising your spending target to meet the floor where it now sits.</t>
  </si>
  <si>
    <t>More capital raised the floor by {deltaFloorK} — which, if your target was right at the edge, may have pushed the boundary above your spending rather than away from it. The floor is now at {floorK}, and the gap to the ceiling is {gapToCeil}.</t>
  </si>
  <si>
    <t>A larger portfolio increase grew the ceiling faster than it raised the floor — the plan widened enough to move your spending into its interior: {gapToFloor} above the floor and {gapToCeil} below the ceiling.</t>
  </si>
  <si>
    <t>The plan's range expanded around your target. You have {gapToCeil} of ceiling room and {gapToFloor} of floor buffer — test whether the ceiling represents capacity worth targeting, or whether this is the position you want to hold.</t>
  </si>
  <si>
    <t>The floor dropped to {floorK} — below your target. That's a surplus, not a problem, but check whether the ceiling compressed enough that the range above still feels adequate.</t>
  </si>
  <si>
    <t>Reducing the portfolio dropped the floor below your spending target — the plan's conservative scenario now projects {floorAboveSpend} more than you're asking for. Less capital shrank what the plan produces until it exceeded your lifestyle target.</t>
  </si>
  <si>
    <t>Higher contributions grew the floor by {deltaFloorK} — moving it to {floorK}, now {gapToCeil} below the ceiling. If your target was right at the edge, the floor may have briefly moved above it before the ceiling's wider expansion reasserted the position.</t>
  </si>
  <si>
    <t>In the TIGHT zone, savings growth lifts the floor — which can crowd your target rather than help it. Test your spending target at the new floor level to see if a higher lifestyle number is now warranted.</t>
  </si>
  <si>
    <t>Studio can test whether Roth vs. traditional contribution allocation changes how the floor compounds in real accounts — the Sketch treats both symmetrically.</t>
  </si>
  <si>
    <t>Lower contributions dropped the floor below your spending — the plan's conservative scenario now projects {floorAboveSpend} more than you're asking for. Less compounding into the plan brought the lower boundary beneath your lifestyle target.</t>
  </si>
  <si>
    <t>The floor is now at {floorK} — {floorAboveSpend} below your target. Before reducing contributions further, check whether raising your spending would have closed this same gap without sacrificing savings.</t>
  </si>
  <si>
    <t>More time raised the floor by {deltaFloorK} — to {floorK}, now {gapToCeil} below the ceiling. In the TIGHT zone, a later retirement can push the floor above a fixed spending target rather than creating helpful space around it.</t>
  </si>
  <si>
    <t>More runway grows the plan, including its floor. If you're working longer, your spending target should grow with it — the floor at {floorK} is what the plan's worst case already projects. Test whether your target should rise to match.</t>
  </si>
  <si>
    <t>Studio can model whether a later retirement with this spending level interacts with Social Security timing and withdrawal order in ways that shift the real position.</t>
  </si>
  <si>
    <t>More runway expanded the plan around your target rather than crowding it. You have {gapToCeil} of ceiling room above — test whether the longer timeline warrants a higher spending target or whether this interior position is the right place to land.</t>
  </si>
  <si>
    <t>A meaningful retirement extension grew the ceiling faster than it raised the floor — the plan widened enough to move your spending into its interior: {gapToFloor} above the floor and {gapToCeil} below the ceiling.</t>
  </si>
  <si>
    <t>Retiring sooner compressed the plan enough that the floor dropped {deltaFloorK} below your spending — the plan's conservative scenario now projects {floorAboveSpend} more than you're asking for. Less compounding time dropped the lower boundary beneath your target.</t>
  </si>
  <si>
    <t>The floor is now at {floorK} — below your target, not above it. Check whether the ceiling compressed enough to narrow the range meaningfully, and whether an earlier retirement at this spending level is actually what you want.</t>
  </si>
  <si>
    <t>Studio can model whether earlier retirement materially changes Social Security benefit timing and income sequencing assumptions relative to the Sketch.</t>
  </si>
  <si>
    <t>This is a passive shift — the timeline changed, not your target. Confirm this reflects your actual situation. If it does, the surplus is real and worth understanding — the floor at {floorK} is what the plan still produces in its worst case.</t>
  </si>
  <si>
    <t>A shorter runway means the plan projects less — the floor dropped {deltaFloorK} to {floorK}, now {floorAboveSpend} below your spending. Less compounding time shrank the lower boundary beneath your target.</t>
  </si>
  <si>
    <t>More runway grew the floor by {deltaFloorK} — to {floorK}, potentially pushing the boundary closer to or above your spending target. Being younger means more compounding time, and in the TIGHT zone that can work against a fixed target.</t>
  </si>
  <si>
    <t>A longer runway grows what the plan projects — including the floor. If you have many years to retirement, test whether your spending target should scale with it. The floor at {floorK} is what the plan's worst case already produces.</t>
  </si>
  <si>
    <t>Two positive inputs deepened the floor crowding rather than resolving it. Isolate each lever to see which is driving more of the effect — and test raising your spending target to {floorK} to see if the expanded plan warrants a lifestyle adjustment.</t>
  </si>
  <si>
    <t>Two levers moved in the same direction — more capital and more time both raised the floor, which moved to {floorK}, up {deltaFloorK}. In the TIGHT zone, that combined lift can push the boundary above a fixed spending target before the ceiling's wider expansion resolves it.</t>
  </si>
  <si>
    <t>Two levers moved in the same structural direction — less capital dropped the floor while higher spending climbed toward the interior. Both worked together: the floor moved to {floorK} and your spending now sits {gapToFloor} above it and {gapToCeil} below the ceiling.</t>
  </si>
  <si>
    <t>An efficient move — the floor dropped and the target rose, claiming more of the plan's range in both directions. Check that {gapToCeil} of ceiling room feels adequate given the compressed floor below.</t>
  </si>
  <si>
    <t>Studio can test whether reduced contributions in specific account types interact with the higher spending target differently through real tax sequencing than the Sketch amplification implies.</t>
  </si>
  <si>
    <t>Both levers worked together efficiently — but the floor dropped and savings reduced simultaneously. Check that {gapToCeil} of ceiling room is still adequate, and weigh whether the savings reduction was the right trade for the position.</t>
  </si>
  <si>
    <t>Two levers moved in the same structural direction — lower contributions dropped the floor while higher spending rose toward the interior. The floor moved to {floorK} and your spending lands {gapToFloor} above it and {gapToCeil} below the ceiling.</t>
  </si>
  <si>
    <t>Two levers moved in offsetting directions — more capital raised the floor while higher spending rose toward the interior. The net result landed inside the plan's range: {gapToFloor} above the floor and {gapToCeil} below the ceiling.</t>
  </si>
  <si>
    <t>Check which lever did more work. If the spending increase alone would have reached this position, the portfolio addition may have partially worked against it by raising the floor at the same time. The net result is good — but the path matters.</t>
  </si>
  <si>
    <t>Studio can model whether the capital increase and higher spending target interact through real account types and sequencing in a way that changes the balance of these offsetting forces.</t>
  </si>
  <si>
    <t>Your spending moved lower inside the plan's range — the floor is now {gapToFloor} below and the ceiling {gapToCeil} above. You're closer to the floor than before, with more ceiling room above.</t>
  </si>
  <si>
    <t>The ceiling is now at {newCeilK} — {gapToCeil} above your target. Check whether the compressed ceiling still gives you enough room, and whether this earlier retirement date is what you actually want or a scenario you're testing.</t>
  </si>
  <si>
    <t>Studio can test whether earlier retirement affects Social Security benefit timing and withdrawal sequencing in ways that shift the ceiling further than the Sketch compression implies.</t>
  </si>
  <si>
    <t>§6 — BASE AND PINNED COPY REWRITE LOG</t>
  </si>
  <si>
    <t>You crossed the ceiling. The plan can't reach this spending level in any scenario it runs — not a good year, not a great one. The gap between what you're asking for and what the plan can deliver is {aboveCeil}.</t>
  </si>
  <si>
    <t>Pull the spending back to where the plan can reach it — or test whether working a little longer, saving more, or adding capital closes the gap from the other side. At this sub-zone, the ceiling was already close. A small move got you here; a small move can bring you back.</t>
  </si>
  <si>
    <t>Studio can test whether your actual accounts and income sources close some of that {aboveCeil} before anything else needs to change.</t>
  </si>
  <si>
    <t>Studio can test whether your actual tax sequencing and Social Security timing hold this level through the full model — not just when things go well.</t>
  </si>
  <si>
    <t>This position still depends on favorable returns and timing. To get to a place where average conditions carry the weight — not just good ones — the spending target needs to come down more, or the plan's ceiling needs to rise. Test which feels more realistic.</t>
  </si>
  <si>
    <t>You're still near the top of what the plan can carry — a small reduction didn't change the fundamental picture. The plan reaches this lifestyle, but it's relying on conditions going well. There's {gapToCeil} of cushion between you and the edge, but not much more.</t>
  </si>
  <si>
    <t>You're inside the range now — {gapToFloor} above the floor and {gapToCeil} below the ceiling. Most scenarios carry this lifestyle, not just the favorable ones. That's a meaningful shift from where you started.</t>
  </si>
  <si>
    <t>The question is whether this target feels like enough. You gave up some spending to get here, but what you bought is a plan that doesn't need things to go well to work. Test whether there's a number between here and your pin that still feels supported.</t>
  </si>
  <si>
    <t>Studio can narrow that range by modeling your actual accounts, tax sequencing, and withdrawal order — the Sketch holds those constant.</t>
  </si>
  <si>
    <t>Studio can confirm whether the headroom above this target holds in real accounts, or whether actual variables absorb some of that apparent cushion.</t>
  </si>
  <si>
    <t>This is a conservative landing for a large spending reduction. The plan is over-built around this target. The real question is whether this lower number is intentional — protecting against what the Sketch doesn't model — or whether you went further than you needed to.</t>
  </si>
  <si>
    <t>You went from near the top to near the bottom — the plan now supports this lifestyle even in its most conservative scenario. There's {gapToCeil} between where you are and what the plan can fully deliver. That's a lot of room you're not using.</t>
  </si>
  <si>
    <t>The plan now projects {floorAboveSpend} more than you're asking for — even in its worst-case scenario. You've moved from asking the plan to stretch to asking less than it can comfortably deliver.</t>
  </si>
  <si>
    <t>This is worth pausing on. The plan's conservative floor still exceeds this target by {floorAboveSpend}. That might be the right answer — minimum floor, maximum cushion — or it might mean you moved the spending too far. Walk it back toward the center and see where the plan starts to breathe naturally.</t>
  </si>
  <si>
    <t>Studio can test whether that below-floor surplus holds in real accounts or whether actual income and tax variables reduce it.</t>
  </si>
  <si>
    <t>Studio can model whether that additional capital compounds differently through your actual account types — pre-tax, Roth, and taxable don't all push the ceiling the same way.</t>
  </si>
  <si>
    <t>Capital is moving the ceiling in the right direction. Find the portfolio level at which the plan carries this spending through the average scenarios — not just the good ones. That's the capital target worth knowing.</t>
  </si>
  <si>
    <t>More capital gave the ceiling more room — you're still near the top, but with slightly more distance between your spending and the plan's upper boundary than before. The ceiling is now {gapToCeil} above the target. The position improved, but the plan still depends on conditions cooperating.</t>
  </si>
  <si>
    <t>More capital moved the ceiling far enough above the spending target that most scenarios now carry it — not just the favorable ones. You have {gapToFloor} of cushion below and {gapToCeil} above. The plan isn't depending on perfect conditions to reach this lifestyle anymore.</t>
  </si>
  <si>
    <t>Test where within the range this landing sits. If it's toward the upper end, the ceiling is close and the improvement is real but partial. If it's near the center, you've genuinely broadened what the plan can hold.</t>
  </si>
  <si>
    <t>Studio can model how that additional capital interacts with your actual tax sequencing and withdrawal order — variables that determine how much of the ceiling growth actually reaches retirement spending.</t>
  </si>
  <si>
    <t>Studio can model how a reduced portfolio changes the real ceiling through actual withdrawal sequencing — the gap may land differently in real accounts than the Sketch projects.</t>
  </si>
  <si>
    <t>The gap is {aboveCeil}. Restore the portfolio, lower the spending target, or test which other lever has enough power to close it. A gap this size doesn't resolve on its own.</t>
  </si>
  <si>
    <t>Less capital dropped the ceiling below the spending target. The plan can't reach this lifestyle in any scenario it runs. There's now a {aboveCeil} gap between what you're asking for and what the plan can deliver with this portfolio level.</t>
  </si>
  <si>
    <t>The favorable-conditions dependency that came with STRETCHED is gone at this contribution rate. Test whether the new ceiling distance feels like the right buffer, or whether there's a contribution level that gets you closer to the center of the range.</t>
  </si>
  <si>
    <t>Studio can test whether Roth vs traditional contributions interact with this rate differently in real accounts — contribution type affects how much of that ceiling growth actually reaches retirement spending.</t>
  </si>
  <si>
    <t>Studio can test whether the contribution type — Roth vs traditional — changes how much of this ceiling impact flows through to actual retirement income at {newContribK}/yr.</t>
  </si>
  <si>
    <t>The gap is {aboveCeil}. Restore contributions, lower the spending target, or test which other lever closes it. Contributions have less ceiling leverage than retirement age or portfolio — factor that in when deciding which direction to move.</t>
  </si>
  <si>
    <t>Lower contributions dropped the ceiling below the spending target. The plan can't reach this lifestyle at this savings rate — there's a {aboveCeil} gap between what you're asking for and what the plan can currently produce.</t>
  </si>
  <si>
    <t>Working {yearsDelta} more year(s) gave the plan enough room to carry this lifestyle through most scenarios. You have {gapToFloor} of cushion below and {gapToCeil} above. Time is the most powerful lever in the plan, and it showed here.</t>
  </si>
  <si>
    <t>Retiring at {newRetire} changed what the plan can hold — test whether the ceiling distance at this retirement age gives you the buffer you want, and whether the tradeoff of more time working is one you'd actually make.</t>
  </si>
  <si>
    <t>Studio can model whether retiring at {newRetire} also changes Social Security timing and Roth conversion windows in ways that reinforce the ceiling gain the Sketch is showing.</t>
  </si>
  <si>
    <t>Studio can model whether retiring at {newRetire} changes Social Security income and Roth conversion opportunities in ways that shift where the practical floor actually lands.</t>
  </si>
  <si>
    <t>This is useful information. If {newRetire} is the retirement date, the spending target should probably rise to match what the plan can actually carry. Or test whether a closer retirement date still gets the plan into a comfortable position without over-building this far.</t>
  </si>
  <si>
    <t>An unusually long extension — {yearsDelta} more years to retirement — grew the plan so much that the floor rose past the spending target. The plan now projects more than this lifestyle requires even in its worst-case scenario. That's the retirement-age paradox at the extreme: enough time eventually over-builds the plan around a fixed target.</t>
  </si>
  <si>
    <t>Retiring {yearsDelta} year(s) earlier dropped the ceiling below the spending target. The plan can't reach this lifestyle at this retirement date — there's a {aboveCeil} gap between what you're asking for and what the compressed timeline produces.</t>
  </si>
  <si>
    <t>The gap is {aboveCeil}. Push the retirement date back to {pinnedRetire} or later, lower the spending target by {aboveCeil} or more, or test whether another lever compensates. Retirement age is the strongest ceiling lever — the cost of moving it earlier is proportional.</t>
  </si>
  <si>
    <t>Studio can model whether retiring at {newRetire} changes Social Security claiming strategy and withdrawal sequencing in ways that shift the actual ceiling gap from what the Sketch is showing.</t>
  </si>
  <si>
    <t>Studio can model whether fewer compounding years change how real account balances project relative to the Sketch ceiling — the gap may be larger or smaller depending on account mix and contribution timing.</t>
  </si>
  <si>
    <t>The plan needs more runway, a lower target, or another lever to compensate. The gap is {aboveCeil} — extend the retirement date to restore compounding time, or test which combination of changes closes it.</t>
  </si>
  <si>
    <t>With {newYears} years to retirement, the plan can't reach this lifestyle — the shorter runway dropped the ceiling below the spending target. There's a {aboveCeil} gap between what you're asking for and what the plan produces at this timeline.</t>
  </si>
  <si>
    <t>With {newYears} years to retirement, the plan carries this lifestyle through most scenarios — not just the favorable ones. There's {gapToFloor} below and {gapToCeil} above. More runway gave the plan the room it needed to comfortably hold this target.</t>
  </si>
  <si>
    <t>Test where within the range this landing sits — if it's still toward the ceiling side, the improvement is real but there's more distance to gain. If it's near the center, the plan is genuinely balanced around this target.</t>
  </si>
  <si>
    <t>Both levers helped — test which one did more of the work. If the spending reduction was large relative to the ceiling growth, you may have more room to bring the target back up than this landing suggests.</t>
  </si>
  <si>
    <t>Two moves worked in the same direction — more capital and lower spending both pushed the position into the plan's core range. The ceiling rose while the target came down; they met inside EXPANSIVE. There's {gapToFloor} below and {gapToCeil} above. Most scenarios carry this now.</t>
  </si>
  <si>
    <t>Two moves worked against the position at the same time — less capital and higher spending both pushed the plan past its limit. The ceiling dropped while the target rose; there's now a {aboveCeil} gap between what you're asking for and what the plan can produce.</t>
  </si>
  <si>
    <t>Studio can test whether real-world variables — tax-advantaged accounts, Social Security timing — close some of the {aboveCeil} before the levers need to reverse.</t>
  </si>
  <si>
    <t>Studio can model whether {newContribK}/yr in contributions and retiring at {newRetire} interact with real account sequencing and Social Security timing in ways that reinforce this ceiling expansion.</t>
  </si>
  <si>
    <t>Test where within the range this lands. If the amplified move pushed the position toward the floor side, the plan may have grown more than this target actually needs — which means there may be room to raise spending back up.</t>
  </si>
  <si>
    <t>Saving more and working longer both pushed the ceiling up at the same time. The plan now carries this lifestyle through most scenarios — {gapToFloor} below and {gapToCeil} above. Two of the strongest ceiling levers moving together got you here faster than either would have alone.</t>
  </si>
  <si>
    <t>More capital and higher savings both lifted the ceiling at the same time. The plan now carries this lifestyle through most scenarios — {gapToFloor} below and {gapToCeil} above. Two capital-side levers moving together gave the plan more structural support than it had before.</t>
  </si>
  <si>
    <t>Test where within the range this lands. If the ceiling grew faster than the position requires, this target may be lower than what the plan can now comfortably support — test whether there's room to raise it.</t>
  </si>
  <si>
    <t>Studio can model how the portfolio increase and {newContribK}/yr in contributions interact through your actual account types — Roth, pre-tax, and taxable respond differently, and that affects how much of this ceiling gain actually reaches retirement spending.</t>
  </si>
  <si>
    <t>Studio can test whether retiring {yearsDelta} year(s) earlier at {spending}/yr changes Social Security timing and withdrawal sequencing in ways that shift where the real ceiling lands versus what the Sketch is showing.</t>
  </si>
  <si>
    <t>The spending reduction didn't buy the relief it should have because the earlier retirement took the ceiling with it. Test what happens if you hold the retirement date where it was and only lower the spending — that move doesn't fight itself.</t>
  </si>
  <si>
    <t>The spending came down, but so did the ceiling — earlier retirement compressed the plan's upper boundary at the same time the target moved. The two offset each other, and the position stayed in STRETCHED with {gapToCeil} to the ceiling. You're still dependent on favorable conditions.</t>
  </si>
  <si>
    <t>The ceiling is still above you, but it's closer than it was. The plan carries this lifestyle — just with less room to spare before conditions start to matter. You haven't left EXPANSIVE, but you've traded some of the buffer that made this position comfortable.</t>
  </si>
  <si>
    <t>Watch how close the ceiling gets as you raise the target. The number where the plan starts depending on things going well — that's the boundary worth knowing. You're not there yet, but you're moving toward it.</t>
  </si>
  <si>
    <t>Studio can test whether the ceiling at this higher target holds through your actual tax sequencing and withdrawal order — the Sketch holds those constant, and they can shift where the real ceiling lands.</t>
  </si>
  <si>
    <t>Studio can test whether your actual tax sequencing and Social Security timing reinforce this upper-edge target through the full model — not just the favorable scenarios the Sketch is now leaning on.</t>
  </si>
  <si>
    <t>STRETCHED isn't a hard stop — but the plan is less forgiving here than it was. A rough market early in retirement, or returns that come in average rather than strong, puts more pressure on this target than it would have at your pin. Decide whether this tradeoff is worth it, or test whether a slightly lower number stays inside the comfortable range.</t>
  </si>
  <si>
    <t>You've reached the upper edge. The plan still gets to this lifestyle — but now it's relying on things going well. Strong returns, good timing, favorable conditions across the full retirement window. The middle-of-the-road scenarios that carried your pinned position are doing less of the work here.</t>
  </si>
  <si>
    <t>The plan can't reach this lifestyle in any scenario it models — not a good year, not a great one. You moved past the ceiling entirely. There's now a {aboveCeil} gap between what you're asking for and what the plan can currently produce.</t>
  </si>
  <si>
    <t>Pull the spending back toward where the plan can reach it — or test which lever closes the gap from the other side. More time, more capital, or higher savings can raise the ceiling toward this target. The gap is {aboveCeil}; find out which lever has enough power to close it before deciding what to move.</t>
  </si>
  <si>
    <t>Studio can test whether real-world variables — tax-advantaged accounts, Social Security timing, withdrawal sequencing — close some of that {aboveCeil} before any lever needs to change.</t>
  </si>
  <si>
    <t>Studio can model whether this lower target holds differently through actual withdrawal sequencing — the floor buffer may behave differently in real accounts than the Sketch projects.</t>
  </si>
  <si>
    <t>The floor is now closer below you, and the ceiling is further above. Test whether this feels like the right balance — or whether the additional headroom represents capacity the plan is projecting that you're choosing not to use.</t>
  </si>
  <si>
    <t>You're at the floor now — the plan's conservative scenario carries this lifestyle. There's {gapToCeil} of ceiling headroom above you. That's a lot of plan you're not using, and the question becomes whether that's by design or by default.</t>
  </si>
  <si>
    <t>Being at the floor isn't bad — it means even the worst-case scenario the plan models supports this lifestyle. But {gapToCeil} above you represents what the plan can carry in normal and good conditions. Name what that headroom is doing for you: earlier retirement, a larger legacy, a bigger cushion against things the Sketch doesn't model.</t>
  </si>
  <si>
    <t>Studio can confirm whether your actual account architecture preserves this floor alignment, or whether real-world variables absorb some of the apparent headroom above.</t>
  </si>
  <si>
    <t>Studio can test whether that below-floor surplus holds in real accounts, or whether actual income and tax variables reduce it from what the Sketch is projecting.</t>
  </si>
  <si>
    <t>This is worth sitting with. If it's intentional — you want maximum cushion, minimum spending, maximum left behind — then name that. If it's not intentional, walk the spending back up toward where the plan starts to carry its weight more naturally.</t>
  </si>
  <si>
    <t>The plan's worst-case scenario projects {floorAboveSpend} more than you're asking for. You went from inside the range — with real distance from both edges — to below even the conservative end of it. The plan is significantly over-built around this target.</t>
  </si>
  <si>
    <t>The plan grew, but you're not using more of it. More capital built more capacity — the ceiling is now {gapToCeil} above you — and the target is claiming a smaller share of what's been built than it was at your pin.</t>
  </si>
  <si>
    <t>Test whether the target should rise to meet what the larger plan can carry. Or name what the widening surplus is actually for — retiring sooner, leaving more behind, or holding buffer against things the Sketch doesn't model.</t>
  </si>
  <si>
    <t>Studio can model whether additional capital in tax-advantaged accounts compounds the floor and ceiling at different rates — the real position may shift differently than the Sketch projects.</t>
  </si>
  <si>
    <t>Studio can model how a larger portfolio flows through your actual account types and withdrawal sequencing — the Sketch treats all capital symmetrically, and it's not.</t>
  </si>
  <si>
    <t>If you added capital to create more room, the target should rise — the room went the wrong direction. Test what spending level puts you back near center in the larger plan.</t>
  </si>
  <si>
    <t>The plan grew past the target. The ceiling is only {gapToCeil} above you now — not because the target rose, but because the plan built around it and left it near the top. The plan can reach this lifestyle, but it needs things to go well to hold it comfortably.</t>
  </si>
  <si>
    <t>Know where the ceiling is before reducing further. A continued portfolio reduction could push into STRETCHED — where the plan needs things to go well — faster than the numbers suggest.</t>
  </si>
  <si>
    <t>Studio can model whether a reduced portfolio compresses the ceiling faster through real withdrawal sequencing — especially in pre-tax heavy account mixes.</t>
  </si>
  <si>
    <t>Studio can model how a smaller portfolio affects the practical floor through actual account withdrawal order — the floor in real accounts may not hold as firmly as the Sketch projects.</t>
  </si>
  <si>
    <t>Assess the minimum portfolio that gets this target back inside the range — where moderate conditions, not just stress-case ones, carry the weight. That's the number worth restoring toward.</t>
  </si>
  <si>
    <t>A large portfolio reduction shrank the plan enough that you've dropped to the floor's edge. The plan still carries this lifestyle — but now it's the conservative scenario doing the work, not the full range. There's {gapToCeil} of ceiling above you, but the plan is tighter than it was.</t>
  </si>
  <si>
    <t>Saving more built more plan — but the target didn't move with it. The ceiling is {gapToCeil} above and the surplus below is wider than at your pin. You're building more capacity than you're asking the plan to use.</t>
  </si>
  <si>
    <t>Test whether the target should rise, or whether an earlier retirement captures what the higher savings rate is producing. If neither moves, name what the deepening surplus is actually for.</t>
  </si>
  <si>
    <t>Studio can test whether Roth vs. traditional contributions compound the floor at different rates — contribution type affects how much of this surplus is actually accessible at retirement.</t>
  </si>
  <si>
    <t>Studio can model how a higher contribution rate flows through real account types and withdrawal order — contribution type affects how much of this ceiling gain holds through actual retirement.</t>
  </si>
  <si>
    <t>The savings rate built a bigger plan than the target asked for, and now the target is near the ceiling of it. Raise the target to reclaim the center — or accept that the plan is running at its upper edge and needs good conditions to stay there.</t>
  </si>
  <si>
    <t>Saving significantly more pushed the ceiling high enough that the target ended up near the top of the range — {gapToCeil} from the ceiling — without the target ever moving. The plan now depends on favorable conditions to hold this lifestyle comfortably.</t>
  </si>
  <si>
    <t>Lower savings brought the floor down to the target. The plan still carries this lifestyle — but the stress-case scenario is now the primary support. The {gapToCeil} above is real, but reaching it requires conditions to cooperate.</t>
  </si>
  <si>
    <t>A rough early sequence or average returns now puts more pressure on this target than at your pin. Assess whether the savings reduction is worth a plan that runs on its conservative floor — or whether a partial restore puts you back inside the comfortable range.</t>
  </si>
  <si>
    <t>Studio can test whether reduced contributions change the practical floor through real account architecture — withdrawal order and tax treatment both affect how firmly the floor holds.</t>
  </si>
  <si>
    <t>Several more years of work produced a ceiling {gapToCeil} above the target. That's not what extra runway is usually for. Test whether the target should rise to use what a longer timeline makes possible — or whether this edge position was the intended outcome.</t>
  </si>
  <si>
    <t>Studio can model whether the extended timeline changes Social Security delay strategy and withdrawal sequencing in ways that reinforce or shift this ceiling-side position.</t>
  </si>
  <si>
    <t>Studio can model whether an earlier retirement changes Social Security benefit timing and withdrawal sequencing in ways that shift the practical floor relative to the Sketch.</t>
  </si>
  <si>
    <t>The {gapToCeil} above is still reachable in average and good conditions — but the floor is the primary support now. Assess whether the earlier date is worth a plan that runs on its stress case, or whether one more year restores enough range to matter.</t>
  </si>
  <si>
    <t>Retiring sooner dropped the ceiling {deltaCeilK} to {newCeilK} — leaving only {gapToCeil} above your spending. Your target didn't change; the ceiling came down to meet it. You bought time now, but the plan is tighter than it was.</t>
  </si>
  <si>
    <t>Retiring much earlier compressed the plan enough that even the stress-case scenario now projects {floorAboveSpend} more than you're asking for. The floor dropped below the target — you went from inside the range to below even its conservative end.</t>
  </si>
  <si>
    <t>The plan is over-built around this target even in a bad scenario. Either the retirement date moved further than needed, or the target should rise to match what even a compressed plan can comfortably carry. Test which one accounts for the mismatch.</t>
  </si>
  <si>
    <t>Studio can model whether a much earlier retirement creates real surplus through actual Social Security and withdrawal sequencing — or whether the Sketch is over-projecting the floor's compression.</t>
  </si>
  <si>
    <t>Studio can model whether fewer compounding years affect the practical floor through real account balances — catch-up contribution limits and Social Security timing both shift meaningfully with fewer years.</t>
  </si>
  <si>
    <t>Assess whether the spending target should come down slightly to give the floor more cushion — or whether holding the target here, knowing the conservative scenario is the primary support, is the right call at this timeline.</t>
  </si>
  <si>
    <t>Less compounding time shrank the plan — and the target landed near the floor. The stress-case scenario is now the main support. There's {gapToCeil} above, but a shorter runway means less room if conditions don't cooperate.</t>
  </si>
  <si>
    <t>More runway grew the plan — and the target is now using less of it than at your pin. The ceiling is {gapToCeil} above. More years of compounding built more capacity, and the target isn't claiming it.</t>
  </si>
  <si>
    <t>More years of compounding should produce something — a higher target, an earlier date, or a named purpose for the surplus. Test which one matches the intent before locking in the longer runway.</t>
  </si>
  <si>
    <t>Studio can model whether additional compounding years open Roth conversion windows and Social Security delay strategies that shift the practical position beyond what the Sketch formula projects.</t>
  </si>
  <si>
    <t>Studio can test whether the capital increase and higher target interact through real account types and tax sequencing in a way that changes the balance of these offsetting forces.</t>
  </si>
  <si>
    <t>Test the levers separately. How much ceiling did the portfolio alone produce? How far did the target alone close the gap? The lever doing more work tells you which direction has more power — and which one to move next if the position needs to shift.</t>
  </si>
  <si>
    <t>More capital pushed the ceiling up; a higher target pushed toward it from below. They partially offset — and the result left {gapToCeil} to the ceiling. Less buffer above than at your pin, more floor cushion below.</t>
  </si>
  <si>
    <t>Lower savings and a higher target moved in the same direction against the position. The ceiling is now {gapToCeil} above — the plan carries this lifestyle, but it's depending on favorable conditions. The middle-path scenarios that held your pin are doing less of the work here.</t>
  </si>
  <si>
    <t>Both levers tightened the position simultaneously. A rough market early or average returns puts more pressure here than at your pin. Decide whether the higher spending is worth the lower savings rate at a {gapToCeil} ceiling margin.</t>
  </si>
  <si>
    <t>Studio can model whether reduced contributions and a higher spending target interact through real tax sequencing and withdrawal order in a way that shifts the ceiling position from what the Sketch projects.</t>
  </si>
  <si>
    <t>Studio can model whether an earlier retirement and lower target interact through Social Security timing and real withdrawal sequencing in ways that shift the practical floor and ceiling from what the Sketch projects.</t>
  </si>
  <si>
    <t>Assess which lever moved too far. Pulling the retirement date back slightly — or raising the target modestly — may restore meaningful interior range without undoing the intent of either move.</t>
  </si>
  <si>
    <t>Earlier retirement and a lower target both compressed the position from different directions — and the result landed at the floor's edge. The ceiling is {gapToCeil} above, but the conservative scenario is what's carrying the lifestyle now. You gave up range from both sides at once.</t>
  </si>
  <si>
    <t>This is a useful stress test — it shows you the plan's floor is {floorK} even at its most conservative. But this isn't a retirement income target. Walk spending back up toward {floorK} to find where the plan starts doing real work for you.</t>
  </si>
  <si>
    <t>Studio can confirm whether your actual withdrawal sequencing and account types preserve this interior position — or whether real-world variables absorb some of the apparent ceiling room above.</t>
  </si>
  <si>
    <t>The ceiling came down — and there's now {gapToCeil} between your target and the plan's upper limit. Less capital shrank the plan — and the ceiling came down closer to your spending target. The plan is more sensitive to conditions now than it was at your pin.</t>
  </si>
  <si>
    <t>Higher contributions closed the gap — the plan now carries this lifestyle through most scenarios, not just the favorable ones. You have {gapToFloor} below and {gapToCeil} above.</t>
  </si>
  <si>
    <t>Raise your target to see how close the ceiling actually is — or lower it to see where the floor starts doing more of the carrying. Or test the retirement date: moving it shifts both edges at once and can reframe where a centered position ends up.</t>
  </si>
  <si>
    <t>An extra year of work built more plan — but the target didn't move with it. The ceiling is now {gapToCeil} above you, and the surplus below is wider than at your pin. You're building more capacity than you're asking the plan to use.</t>
  </si>
  <si>
    <t>Working significantly longer pushed the ceiling high enough that your target ended up near the top of the range — {gapToCeil} from the ceiling — without the target ever moving. The plan can carry this, but it needs things to go well to do so comfortably.</t>
  </si>
  <si>
    <t>Figure out which lever is doing more damage. If the portfolio reduction drove most of the ceiling compression, restoring capital is the priority. If the spending increase drove most of the gap, pulling that back is faster. The gap is {aboveCeil} — both levers need to move, or one needs to move a lot.</t>
  </si>
  <si>
    <t>Studio can model whether {newYears} years to retirement opens Roth conversion windows and Social Security delay strategies that change the practical ceiling beyond what the Sketch shows.</t>
  </si>
  <si>
    <t>[ORPHAN — DO NOT TRANSCRIBE — superseded by sub-zone Para 1 swaps (JUST_BELOW row 9, WELL_BELOW row 10); 'Both are fine. But only one of them is a choice.' clause now lives in Para 2 row 5 per advisor splice]</t>
  </si>
  <si>
    <t>ORPHAN — superseded by sub-zone Para 1 swaps. Strong-prose clause preserved via splice into Para 2 (row 5). Do NOT transcribe to production per advisor + DJ:250.</t>
  </si>
  <si>
    <t>Most spending targets land somewhere inside the range the plan models — yours sits below even the conservative end of it. The real question is whether that’s deliberate — you’re keeping expectations low by design, planning to leave more behind, or simply haven’t tested what the plan can carry — or whether this is capacity you haven’t looked at yet. Both are fine. But only one of them is a choice.</t>
  </si>
  <si>
    <t>Applies to all sub-zones. Para 2 (advisor-spliced 2026-05-19) — preserves 'Both are fine. But only one of them is a choice.' clause that previously lived in orphaned ALL Para 1.</t>
  </si>
  <si>
    <t>Your plan projects more than you're planning to spend — even if markets underperform. The gap is modest, but the floor still sits above your target.</t>
  </si>
  <si>
    <t>Use when abundantRatio &gt;= 0.75. Swaps Para 1 only; Paras 2, Consider, Studio unchanged. REVISED 2026-05-19 ~7:46 PM ET per Captain field-test observation: tightened 'gap isn't large' to 'gap is modest' (affirmative framing) and 'floor is still above' to 'floor still sits above' (spatial grounding).</t>
  </si>
  <si>
    <t>Your plan projects significantly more than you're planning to spend — even in a bad scenario. The floor sits well above your target, leaving a wide buffer between what the plan can carry and what you're asking for.</t>
  </si>
  <si>
    <t>Use when abundantRatio &lt; 0.75. Swaps Para 1 only; Paras 2, Consider, Studio unchanged. REVISED 2026-05-19 ~7:46 PM ET per Captain field-test boundary-cliff diagnosis: replaced 'floor isn't close to your target; it's well above it' (categorical state) with 'floor sits well above your target, leaving a wide buffer between what the plan can carry and what you're asking for' (gradient framing). Resolves tonal whiplash at abundantRatio = 0.75 boundary.</t>
  </si>
  <si>
    <t>2026-05-20 ~10:15 PM ET | 🆕 SCREEN 3 (PHASE III — TENSION) COPY STRING LIBRARY — All inline copy currently authored in sketch.html btn-know-shape handler (lines 5217-5298) extracted here for advisor V2-voice rewrite. ~68 distinct strings across 4 cards + dual-row strip. Advisor turn: craft V2 voice matching BASE Sheets 2-6 + PINNED Sheets 7-11 + DESIGN Blocks Sheets 14-17 epistemological frame.</t>
  </si>
  <si>
    <t>📋 SCREEN 3 (PHASE III — TENSION) COPY STRING LIBRARY</t>
  </si>
  <si>
    <t>Source: sketch.html btn-know-shape handler lines 5217-5298. Extract all inline copy strings for advisor V2-voice rewrite. After advisor returns matched-voice strings, Claude wires them into a _S3 routing table similar to _PC for PINNED, separating Screen 3 copy from engine code per DJ:250 verbatim transcription doctrine.</t>
  </si>
  <si>
    <t>═══ SECTION 1: DUAL-ROW STRIP (top of Screen 3 — 'Shape You Have' vs 'Shape You Want' header band) ═══</t>
  </si>
  <si>
    <t>The dual-row strip shows side-by-side state labels for Sketch Confirmed (left, Discover snapshot) vs Designed (right, Design snapshot). 8 strings per row × 2 rows + state interpretations.</t>
  </si>
  <si>
    <t>String ID</t>
  </si>
  <si>
    <t>Surface</t>
  </si>
  <si>
    <t>Trigger State</t>
  </si>
  <si>
    <t>Current V1 String (verbatim from code)</t>
  </si>
  <si>
    <t>Variables Used</t>
  </si>
  <si>
    <t>Char Count</t>
  </si>
  <si>
    <t>V2 Advisor Voice (TO AUTHOR)</t>
  </si>
  <si>
    <t>S3.D1.LABEL-LEFT</t>
  </si>
  <si>
    <t>Strip Row 1 — Label</t>
  </si>
  <si>
    <t>Always</t>
  </si>
  <si>
    <t>Shape You Have</t>
  </si>
  <si>
    <t>Static label, left column.</t>
  </si>
  <si>
    <t>S3.D1.STATE-OE</t>
  </si>
  <si>
    <t>Strip Row 1 — State pill</t>
  </si>
  <si>
    <t>Sketch state = OVEREXTENDED</t>
  </si>
  <si>
    <t>Single-word state pill.</t>
  </si>
  <si>
    <t>S3.D1.STATE-ABU</t>
  </si>
  <si>
    <t>Sketch state = ABUNDANT</t>
  </si>
  <si>
    <t>S3.D1.STATE-GRD</t>
  </si>
  <si>
    <t>Sketch state = GROUNDED</t>
  </si>
  <si>
    <t>S3.D1.STATE-EXP</t>
  </si>
  <si>
    <t>Sketch state = EXPANSIVE</t>
  </si>
  <si>
    <t>S3.D1.STATE-STR</t>
  </si>
  <si>
    <t>Sketch state = STRETCHED</t>
  </si>
  <si>
    <t>S3.D1.STATE-CMP</t>
  </si>
  <si>
    <t>Sketch state = COMPRESSED</t>
  </si>
  <si>
    <t>COMPRESSED</t>
  </si>
  <si>
    <t>S3.D1.VALUES</t>
  </si>
  <si>
    <t>Strip Row 1 — Values</t>
  </si>
  <si>
    <t>Ceiling {sketchCeilK}/yr ({sketchCeilTotalM} total) / Datum {sketchDatumK}/yr ({sketchDatumTotalM} total) / Floor {sketchFloorK}/yr ({sketchFloorTotalM} total)</t>
  </si>
  <si>
    <t>sketchCeilK sketchCeilTotalM sketchDatumK sketchDatumTotalM sketchFloorK sketchFloorTotalM</t>
  </si>
  <si>
    <t>~120</t>
  </si>
  <si>
    <t>Numeric values from Discover snapshot.</t>
  </si>
  <si>
    <t>S3.D1.INTERP-OE</t>
  </si>
  <si>
    <t>Strip Row 1 — Interpretation</t>
  </si>
  <si>
    <t>Datum exceeds Ceiling — structurally unsupported.</t>
  </si>
  <si>
    <t>One-line shape interpretation.</t>
  </si>
  <si>
    <t>S3.D1.INTERP-ABU</t>
  </si>
  <si>
    <t>Datum sits well below Floor — substantial headroom.</t>
  </si>
  <si>
    <t>S3.D1.INTERP-GRD</t>
  </si>
  <si>
    <t>Datum sits comfortably between Floor and Ceiling.</t>
  </si>
  <si>
    <t>S3.D1.INTERP-EXP</t>
  </si>
  <si>
    <t>Floor and Ceiling are far apart — wide range of outcomes.</t>
  </si>
  <si>
    <t>S3.D1.INTERP-STR</t>
  </si>
  <si>
    <t>Datum sits very close to the Ceiling — limited margin.</t>
  </si>
  <si>
    <t>S3.D1.INTERP-CMP</t>
  </si>
  <si>
    <t>Floor and Ceiling are close together — narrow range.</t>
  </si>
  <si>
    <t>S3.D2.LABEL-RIGHT</t>
  </si>
  <si>
    <t>Strip Row 2 — Label</t>
  </si>
  <si>
    <t>Shape You Want</t>
  </si>
  <si>
    <t>Static label, right column.</t>
  </si>
  <si>
    <t>S3.D2.STATE-*</t>
  </si>
  <si>
    <t>Strip Row 2 — State pill</t>
  </si>
  <si>
    <t>Designed state (6 options)</t>
  </si>
  <si>
    <t>(reuse S3.D1.STATE-* strings)</t>
  </si>
  <si>
    <t>Reuse pills from row 1.</t>
  </si>
  <si>
    <t>S3.D2.VALUES</t>
  </si>
  <si>
    <t>Strip Row 2 — Values</t>
  </si>
  <si>
    <t>Ceiling {dCeilK}/yr ({dCeilTotalM} total) = / Datum {dDatumK}/yr ({dDatumTotalM} total) = / Floor {dFloorK}/yr ({dFloorTotalM} total) =</t>
  </si>
  <si>
    <t>dCeilK dCeilTotalM dDatumK dDatumTotalM dFloorK dFloorTotalM</t>
  </si>
  <si>
    <t>Designed values. Trailing '=' marker means at-baseline.</t>
  </si>
  <si>
    <t>S3.D2.INTERP-OE</t>
  </si>
  <si>
    <t>Strip Row 2 — Interpretation</t>
  </si>
  <si>
    <t>Designed = OVEREXTENDED</t>
  </si>
  <si>
    <t>Your target sits above the Sketch's modeled Ceiling at retirement.</t>
  </si>
  <si>
    <t>Designed-shape interpretation.</t>
  </si>
  <si>
    <t>S3.D2.INTERP-ABU</t>
  </si>
  <si>
    <t>Designed = ABUNDANT</t>
  </si>
  <si>
    <t>Your target sits well below your Floor — substantial buffer.</t>
  </si>
  <si>
    <t>S3.D2.INTERP-GRD</t>
  </si>
  <si>
    <t>Designed = GROUNDED</t>
  </si>
  <si>
    <t>Your target sits between Floor and Ceiling — supportable.</t>
  </si>
  <si>
    <t>S3.D2.INTERP-EXP</t>
  </si>
  <si>
    <t>Designed = EXPANSIVE</t>
  </si>
  <si>
    <t>Your designed range is wide — many possible paths.</t>
  </si>
  <si>
    <t>S3.D2.INTERP-STR</t>
  </si>
  <si>
    <t>Designed = STRETCHED</t>
  </si>
  <si>
    <t>Your target sits very close to your Ceiling — thin margin.</t>
  </si>
  <si>
    <t>S3.D2.INTERP-CMP</t>
  </si>
  <si>
    <t>Designed = COMPRESSED</t>
  </si>
  <si>
    <t>Your Floor and Ceiling are close — narrow band.</t>
  </si>
  <si>
    <t>═══ SECTION 2: CARD 1 — 'The Shape Begins' (always shown, context-setting card) ═══</t>
  </si>
  <si>
    <t>Card 1 'The Shape Begins' is the always-shown context-setting card. Establishes the user's starting position before showing what changed in Design state. 4 strings: timeline + capital + target + closer.</t>
  </si>
  <si>
    <t>Card / Position</t>
  </si>
  <si>
    <t>S3.C1.LINE1</t>
  </si>
  <si>
    <t>Card 1 — Timeline</t>
  </si>
  <si>
    <t>You're {currentAge}, planning to retire at {retireAge}. That's {yearsToRetire} years to build.</t>
  </si>
  <si>
    <t>currentAge retireAge yearsToRetire</t>
  </si>
  <si>
    <t>Sets timeline.</t>
  </si>
  <si>
    <t>S3.C1.LINE2</t>
  </si>
  <si>
    <t>Card 1 — Capital</t>
  </si>
  <si>
    <t>You have {portfolioK} saved today, adding {annualContribK}/yr/yr.</t>
  </si>
  <si>
    <t>portfolioK annualContribK</t>
  </si>
  <si>
    <t>Sets capital. 'yr/yr' is the live string.</t>
  </si>
  <si>
    <t>S3.C1.LINE3</t>
  </si>
  <si>
    <t>Card 1 — Target</t>
  </si>
  <si>
    <t>You want to spend {datumK}/yr in retirement. Tax drag: {taxDragPct}. Inflation: {inflationMode}.</t>
  </si>
  <si>
    <t>datumK taxDragPct inflationMode</t>
  </si>
  <si>
    <t>Sets target + assumptions.</t>
  </si>
  <si>
    <t>S3.C1.LINE4</t>
  </si>
  <si>
    <t>Card 1 — Closer</t>
  </si>
  <si>
    <t>This is what you brought. The Sketch turned it into a shape.</t>
  </si>
  <si>
    <t>Bridge to Card 2.</t>
  </si>
  <si>
    <t>═══ SECTION 3: CARD 2 — 'The Shape You Have' (Discover snapshot expansion, 6 state-specific physics) ═══</t>
  </si>
  <si>
    <t>Card 2 'The Shape You Have' expands the Discover-state snapshot. Common opener + bridge + 2 bullets + state-specific physics + closer = 11 strings.</t>
  </si>
  <si>
    <t>S3.C2.OPENER</t>
  </si>
  <si>
    <t>Card 2 — Opener</t>
  </si>
  <si>
    <t>Under Average conditions (the middle-of-the-road path), your portfolio is projected to reach {projectedBalanceM} at retirement. Your Ceiling assumes markets do better; your Floor assumes worse.</t>
  </si>
  <si>
    <t>projectedBalanceM</t>
  </si>
  <si>
    <t>Three-path frame.</t>
  </si>
  <si>
    <t>S3.C2.BRIDGE</t>
  </si>
  <si>
    <t>Card 2 — Bridge</t>
  </si>
  <si>
    <t>At that projected balance, the Sketch supports:</t>
  </si>
  <si>
    <t>Bridge to bullet list.</t>
  </si>
  <si>
    <t>S3.C2.BULLET-FLOOR</t>
  </si>
  <si>
    <t>Card 2 — Floor bullet</t>
  </si>
  <si>
    <t>↓ Floor — {sketchFloorK}. The least you can spend without running out, even if markets disappoint.</t>
  </si>
  <si>
    <t>sketchFloorK</t>
  </si>
  <si>
    <t>Floor bullet.</t>
  </si>
  <si>
    <t>S3.C2.BULLET-CEIL</t>
  </si>
  <si>
    <t>Card 2 — Ceiling bullet</t>
  </si>
  <si>
    <t>↑ Ceiling — {sketchCeilK}. The most the math says you can safely reach if things go well.</t>
  </si>
  <si>
    <t>sketchCeilK</t>
  </si>
  <si>
    <t>Ceiling bullet.</t>
  </si>
  <si>
    <t>S3.C2.PHYSICS-OE</t>
  </si>
  <si>
    <t>Card 2 — Physics</t>
  </si>
  <si>
    <t>Your target of {datumK} sits above your confirmed Ceiling — already under pressure.</t>
  </si>
  <si>
    <t>datumK</t>
  </si>
  <si>
    <t>Match BASE OVEREXTENDED voice Sheet 6.</t>
  </si>
  <si>
    <t>S3.C2.PHYSICS-ABU</t>
  </si>
  <si>
    <t>Your target of {datumK} sits well below your Floor — you have substantial headroom.</t>
  </si>
  <si>
    <t>Match BASE ABUNDANT voice Sheet 2.</t>
  </si>
  <si>
    <t>S3.C2.PHYSICS-GRD</t>
  </si>
  <si>
    <t>Your target of {datumK} sits comfortably between your Floor and Ceiling — structurally supported.</t>
  </si>
  <si>
    <t>Match BASE GROUNDED voice Sheet 3.</t>
  </si>
  <si>
    <t>S3.C2.PHYSICS-EXP</t>
  </si>
  <si>
    <t>Your target of {datumK} fits inside a wide range — many possible outcomes.</t>
  </si>
  <si>
    <t>Match BASE EXPANSIVE voice Sheet 4.</t>
  </si>
  <si>
    <t>S3.C2.PHYSICS-STR</t>
  </si>
  <si>
    <t>Your target of {datumK} sits very close to your Ceiling — thin margin if markets disappoint.</t>
  </si>
  <si>
    <t>Match BASE STRETCHED voice Sheet 5.</t>
  </si>
  <si>
    <t>S3.C2.PHYSICS-CMP</t>
  </si>
  <si>
    <t>Your target of {datumK} fits inside a narrow range — limited flexibility.</t>
  </si>
  <si>
    <t>S3.C2.CLOSER</t>
  </si>
  <si>
    <t>Card 2 — Closer</t>
  </si>
  <si>
    <t>This is your confirmed shape — what the Sketch can actually show.</t>
  </si>
  <si>
    <t>Bridge to Card 3.</t>
  </si>
  <si>
    <t>═══ SECTION 4: CARD 3 — 'The Shape You Want' (Design snapshot, 6 state physics + 6 actions + paradox + sub-case + floor context) ═══</t>
  </si>
  <si>
    <t>Card 3 'The Shape You Want' is the most copy-heavy section. 19 strings: opener + 3 setup + 6 state physics + 6 state actions + 1 paradox banner + 1 inverted-shape sub-case + 1 floor context.</t>
  </si>
  <si>
    <t>S3.C3.OPENER</t>
  </si>
  <si>
    <t>Card 3 — Opener</t>
  </si>
  <si>
    <t>In Screen 2 you pulled the shape.</t>
  </si>
  <si>
    <t>Design frame opener.</t>
  </si>
  <si>
    <t>S3.C3.LINE-CEIL</t>
  </si>
  <si>
    <t>Card 3 — Ceiling line</t>
  </si>
  <si>
    <t>You set your Ceiling to {dCeilK}/yr — {ceilContext}.</t>
  </si>
  <si>
    <t>dCeilK ceilContext</t>
  </si>
  <si>
    <t>~55</t>
  </si>
  <si>
    <t>ceilContext = 'exactly at your confirmed ceiling' OR '$Xk above confirmed' OR '$Xk below confirmed'.</t>
  </si>
  <si>
    <t>S3.C3.LINE-DF</t>
  </si>
  <si>
    <t>Card 3 — Datum+Floor line</t>
  </si>
  <si>
    <t>Datum: {dDatumK}/yr. Floor: {dFloorK}/yr.</t>
  </si>
  <si>
    <t>dDatumK dFloorK</t>
  </si>
  <si>
    <t>~45</t>
  </si>
  <si>
    <t>Datum + Floor inline.</t>
  </si>
  <si>
    <t>S3.C3.LINE-SHAPE</t>
  </si>
  <si>
    <t>Card 3 — Shape label</t>
  </si>
  <si>
    <t>Shape: {designedState}</t>
  </si>
  <si>
    <t>designedState</t>
  </si>
  <si>
    <t>~25</t>
  </si>
  <si>
    <t>Designed shape state label.</t>
  </si>
  <si>
    <t>S3.C3.PHYSICS-OE</t>
  </si>
  <si>
    <t>Card 3 — Physics</t>
  </si>
  <si>
    <t>Your spending target of {dDatumK}/yr sits {gapK}/yr above what this portfolio can structurally support. In most market sequences, you would run out of money. This is not a minor gap — it is the most important number on this page.</t>
  </si>
  <si>
    <t>dDatumK gapK</t>
  </si>
  <si>
    <t>OVEREXTENDED physics. Preserve gravity.</t>
  </si>
  <si>
    <t>S3.C3.PHYSICS-ABU</t>
  </si>
  <si>
    <t>~133</t>
  </si>
  <si>
    <t>ABUNDANT physics. Reframe 'idle' carefully.</t>
  </si>
  <si>
    <t>S3.C3.PHYSICS-GRD</t>
  </si>
  <si>
    <t>Your spending target of {dDatumK}/yr sits inside your designed range — structurally supportable across market sequences.</t>
  </si>
  <si>
    <t>dDatumK</t>
  </si>
  <si>
    <t>~130</t>
  </si>
  <si>
    <t>GROUNDED physics. Positive framing.</t>
  </si>
  <si>
    <t>S3.C3.PHYSICS-EXP</t>
  </si>
  <si>
    <t>Your designed range is wide — your Floor sits {floorBelowK}/yr below your Datum and your Ceiling sits {ceilAboveK}/yr above. Many possible paths.</t>
  </si>
  <si>
    <t>floorBelowK ceilAboveK</t>
  </si>
  <si>
    <t>~158</t>
  </si>
  <si>
    <t>EXPANSIVE physics.</t>
  </si>
  <si>
    <t>S3.C3.PHYSICS-STR</t>
  </si>
  <si>
    <t>Your spending target of {dDatumK}/yr sits only {ceilGapK}/yr below your designed Ceiling — thin margin if markets disappoint.</t>
  </si>
  <si>
    <t>dDatumK ceilGapK</t>
  </si>
  <si>
    <t>~143</t>
  </si>
  <si>
    <t>STRETCHED physics.</t>
  </si>
  <si>
    <t>S3.C3.PHYSICS-CMP</t>
  </si>
  <si>
    <t>spreadK</t>
  </si>
  <si>
    <t>~95</t>
  </si>
  <si>
    <t>S3.C3.ACTION-OE</t>
  </si>
  <si>
    <t>Card 3 — Action</t>
  </si>
  <si>
    <t>Lower your Datum below the Ceiling, delay retirement, or use Studio to see exactly which levers would need to change to make this shape viable.</t>
  </si>
  <si>
    <t>OVEREXTENDED action.</t>
  </si>
  <si>
    <t>S3.C3.ACTION-ABU</t>
  </si>
  <si>
    <t>Raise your Datum to use more of your headroom, retire earlier, or accept the buffer as protection.</t>
  </si>
  <si>
    <t>ABUNDANT action.</t>
  </si>
  <si>
    <t>S3.C3.ACTION-GRD</t>
  </si>
  <si>
    <t>This shape holds across most market sequences. Studio confirms the math against your actual accounts.</t>
  </si>
  <si>
    <t>GROUNDED action.</t>
  </si>
  <si>
    <t>S3.C3.ACTION-EXP</t>
  </si>
  <si>
    <t>Wide range means flexibility. Studio shows which lever moves narrow the band toward your actual goal.</t>
  </si>
  <si>
    <t>EXPANSIVE action.</t>
  </si>
  <si>
    <t>S3.C3.ACTION-STR</t>
  </si>
  <si>
    <t>Thin margin means market timing matters more. Studio shows sequence-of-returns risk against your actual portfolio.</t>
  </si>
  <si>
    <t>STRETCHED action.</t>
  </si>
  <si>
    <t>S3.C3.ACTION-CMP</t>
  </si>
  <si>
    <t>Narrow band limits flexibility. Studio shows whether your real assets can widen the operating range.</t>
  </si>
  <si>
    <t>S3.C3.PARADOX-OE</t>
  </si>
  <si>
    <t>Card 3 — Paradox banner</t>
  </si>
  <si>
    <t>OVEREXTENDED severe</t>
  </si>
  <si>
    <t>⚠️ This shape cannot be sustained. Your spending target exceeds what the portfolio can support in most market sequences. See the action below to fix it.</t>
  </si>
  <si>
    <t>PARADOX banner. Fires when math says 'not viable.'</t>
  </si>
  <si>
    <t>S3.C3.SUBCASE-INVERT</t>
  </si>
  <si>
    <t>Card 3 — Inverted sub-case</t>
  </si>
  <si>
    <t>OE AND dDatum &gt; dCeil</t>
  </si>
  <si>
    <t>Your Datum ({dDatumK}/yr) exceeds your Ceiling ({dCeilK}/yr). This is structurally invalid — you're planning to spend above your own upper limit. Lower your Datum below {dCeilK}/yr, or raise the Ceiling to match.</t>
  </si>
  <si>
    <t>dDatumK dCeilK</t>
  </si>
  <si>
    <t>~218</t>
  </si>
  <si>
    <t>Most severe state — Datum above own designed Ceiling.</t>
  </si>
  <si>
    <t>S3.C3.FLOOR-CONTEXT</t>
  </si>
  <si>
    <t>Card 3 — Floor context</t>
  </si>
  <si>
    <t>Floor: {dFloorK}/yr — {floorAlignment}. {floorGapK}/yr below your Datum — that's your downside buffer if markets disappoint.</t>
  </si>
  <si>
    <t>dFloorK floorAlignment floorGapK</t>
  </si>
  <si>
    <t>~150</t>
  </si>
  <si>
    <t>floorAlignment = 'aligned with the Sketch minimum' OR 'below confirmed Floor by $Xk' OR 'above confirmed Floor by $Xk'.</t>
  </si>
  <si>
    <t>═══ SECTION 5: CARD 4 — 'What It Takes to Get There' (Studio bridge card, 7 state levers + 4 universal footer/CTA) ═══</t>
  </si>
  <si>
    <t>Card 4 'What It Takes to Get There' is the Studio upsell card. State-specific lever description + universal Studio value-prop footer. 11 strings total.</t>
  </si>
  <si>
    <t>S3.C4.LEVERS-OE-INVERT</t>
  </si>
  <si>
    <t>Card 4 — Levers (inverted)</t>
  </si>
  <si>
    <t>Your Datum ({dDatumK}/yr) sits above your Ceiling ({dCeilK}/yr) — the Sketch confirms a ceiling of {sketchCeilK}/yr and a baseline spending of {dDatumK}/yr, but your designed shape has no valid range between them. Studio maps exactly which levers — contributions, retirement age, Datum, or Ceiling — would bring this into a structurally supportable position.</t>
  </si>
  <si>
    <t>dDatumK dCeilK sketchCeilK</t>
  </si>
  <si>
    <t>~360</t>
  </si>
  <si>
    <t>Most severe state — inverted designed shape.</t>
  </si>
  <si>
    <t>S3.C4.LEVERS-OE</t>
  </si>
  <si>
    <t>Card 4 — Levers (standard OE)</t>
  </si>
  <si>
    <t>OE AND dDatum &lt;= dCeil</t>
  </si>
  <si>
    <t>To support your designed shape, you'd need to either increase contributions, delay retirement, lower your Datum, or accept a different Ceiling. Studio maps which combination of levers most efficiently closes the gap.</t>
  </si>
  <si>
    <t>~225</t>
  </si>
  <si>
    <t>OE standard case.</t>
  </si>
  <si>
    <t>S3.C4.LEVERS-ABU</t>
  </si>
  <si>
    <t>Card 4 — Levers</t>
  </si>
  <si>
    <t>Your designed shape is already supported. Studio shows where you have room — whether to retire earlier, raise your Datum, or hold the buffer as protection against sequence-of-returns risk.</t>
  </si>
  <si>
    <t>~215</t>
  </si>
  <si>
    <t>ABUNDANT lever description.</t>
  </si>
  <si>
    <t>S3.C4.LEVERS-GRD</t>
  </si>
  <si>
    <t>Your designed shape is structurally supported. Studio confirms whether your actual account mix, tax situation, and Social Security timing preserve that margin under real market sequences.</t>
  </si>
  <si>
    <t>~220</t>
  </si>
  <si>
    <t>GROUNDED lever description.</t>
  </si>
  <si>
    <t>S3.C4.LEVERS-EXP</t>
  </si>
  <si>
    <t>Your designed range is wide. Studio shows which lever moves — Social Security timing, Roth conversions, account sequencing — narrow the range toward your actual planning goal.</t>
  </si>
  <si>
    <t>EXPANSIVE lever description.</t>
  </si>
  <si>
    <t>S3.C4.LEVERS-STR</t>
  </si>
  <si>
    <t>Your designed margin is thin. Studio shows sequence-of-returns exposure across your actual portfolio — and which levers (Social Security delay, allocation shift, Roth bridge) widen the margin.</t>
  </si>
  <si>
    <t>STRETCHED lever description.</t>
  </si>
  <si>
    <t>S3.C4.LEVERS-CMP</t>
  </si>
  <si>
    <t>Your designed band is narrow. Studio shows whether your real assets, tax accounts, and Social Security options can widen the operating range while preserving Floor resilience.</t>
  </si>
  <si>
    <t>~210</t>
  </si>
  <si>
    <t>S3.C4.FOOTER-PARA1</t>
  </si>
  <si>
    <t>Card 4 — Footer ¶1</t>
  </si>
  <si>
    <t>The Sketch uses one straight-line projection. It doesn't know your account types, your Social Security options, what happens if markets drop in year two of retirement, or how Roth conversions change your floor. Those aren't details — they're the difference between a shape that holds and one that breaks.</t>
  </si>
  <si>
    <t>~310</t>
  </si>
  <si>
    <t>Universal Sketch limitations disclosure.</t>
  </si>
  <si>
    <t>S3.C4.FOOTER-PARA2-A</t>
  </si>
  <si>
    <t>Card 4 — Footer ¶2 Line 1</t>
  </si>
  <si>
    <t>Studio runs your actual numbers across 10,000 market sequences.</t>
  </si>
  <si>
    <t>Studio value-prop line 1.</t>
  </si>
  <si>
    <t>S3.C4.FOOTER-PARA2-B</t>
  </si>
  <si>
    <t>Card 4 — Footer ¶2 Line 2</t>
  </si>
  <si>
    <t>It shows you where the gaps are and which levers are most likely to close them.</t>
  </si>
  <si>
    <t>Studio differentiator line 2.</t>
  </si>
  <si>
    <t>S3.C4.CTA-BUTTON</t>
  </si>
  <si>
    <t>Card 4 — CTA button</t>
  </si>
  <si>
    <t>See If This Shape Holds →</t>
  </si>
  <si>
    <t>Studio CTA. Routes to /studio-showcase.html.</t>
  </si>
  <si>
    <t>═══ SECTION 6: VARIABLE REFERENCE — All {variables} used across Screen 3 strings ═══</t>
  </si>
  <si>
    <t>All variables follow DJ:250 single-curly convention. Source values: lastCalculatedPoints (Discover snapshot at Screen 2 entry) + designOverrides (handle drag deltas) + currentScenario._designedCeil/_designedDatum/_designedFloor (captured at btn-know-shape click per existing live handler line 5217).</t>
  </si>
  <si>
    <t>Format Example</t>
  </si>
  <si>
    <t>Used in Strings</t>
  </si>
  <si>
    <t>{currentAge}</t>
  </si>
  <si>
    <t>currentScenario.currentAge</t>
  </si>
  <si>
    <t>User's current age</t>
  </si>
  <si>
    <t>{retireAge}</t>
  </si>
  <si>
    <t>currentScenario.retireAge</t>
  </si>
  <si>
    <t>User's planned retirement age</t>
  </si>
  <si>
    <t>{yearsToRetire}</t>
  </si>
  <si>
    <t>computed retireAge - currentAge</t>
  </si>
  <si>
    <t>Years until retirement</t>
  </si>
  <si>
    <t>{portfolioK}</t>
  </si>
  <si>
    <t>currentScenario.portfolio /1000</t>
  </si>
  <si>
    <t>$60k</t>
  </si>
  <si>
    <t>Current portfolio balance formatted</t>
  </si>
  <si>
    <t>{annualContribK}</t>
  </si>
  <si>
    <t>currentScenario.annualContrib /1000</t>
  </si>
  <si>
    <t>$25k</t>
  </si>
  <si>
    <t>Annual contributions formatted</t>
  </si>
  <si>
    <t>{datumK}</t>
  </si>
  <si>
    <t>currentScenario.datumSpend /1000</t>
  </si>
  <si>
    <t>$152k</t>
  </si>
  <si>
    <t>Discover-state Datum target</t>
  </si>
  <si>
    <t>S3.C1.LINE3 / S3.C2.PHYSICS-*</t>
  </si>
  <si>
    <t>{taxDragPct}</t>
  </si>
  <si>
    <t>currentScenario.taxDrag * 100</t>
  </si>
  <si>
    <t>Tax drag percentage</t>
  </si>
  <si>
    <t>{inflationMode}</t>
  </si>
  <si>
    <t>currentScenario.inflationMode</t>
  </si>
  <si>
    <t>real</t>
  </si>
  <si>
    <t>Inflation mode label</t>
  </si>
  <si>
    <t>{projectedBalanceM}</t>
  </si>
  <si>
    <t>computed P × gfAvg /1e6</t>
  </si>
  <si>
    <t>$1.62M</t>
  </si>
  <si>
    <t>Projected portfolio at retirement</t>
  </si>
  <si>
    <t>{sketchCeilK}</t>
  </si>
  <si>
    <t>lastCalculatedPoints.ceilSpend /1000</t>
  </si>
  <si>
    <t>$96k</t>
  </si>
  <si>
    <t>Sketch-confirmed Ceiling from Discover</t>
  </si>
  <si>
    <t>S3.D1.VALUES / S3.C2.BULLET-CEIL / S3.C4.LEVERS-OE-INVERT</t>
  </si>
  <si>
    <t>{sketchDatumK}</t>
  </si>
  <si>
    <t>lastCalculatedPoints.datumSpend /1000</t>
  </si>
  <si>
    <t>Sketch Datum from Discover</t>
  </si>
  <si>
    <t>{sketchFloorK}</t>
  </si>
  <si>
    <t>lastCalculatedPoints.floorSpend /1000</t>
  </si>
  <si>
    <t>Sketch-confirmed Floor</t>
  </si>
  <si>
    <t>S3.D1.VALUES / S3.C2.BULLET-FLOOR</t>
  </si>
  <si>
    <t>{sketchCeilTotalM}</t>
  </si>
  <si>
    <t>computed Ceil capital /1e6</t>
  </si>
  <si>
    <t>1.7M</t>
  </si>
  <si>
    <t>Capital required to support Ceiling spend</t>
  </si>
  <si>
    <t>{sketchDatumTotalM}</t>
  </si>
  <si>
    <t>computed Datum capital /1e6</t>
  </si>
  <si>
    <t>2.7M</t>
  </si>
  <si>
    <t>Capital required to support Datum spend</t>
  </si>
  <si>
    <t>{sketchFloorTotalM}</t>
  </si>
  <si>
    <t>computed Floor capital /1e6</t>
  </si>
  <si>
    <t>451k</t>
  </si>
  <si>
    <t>Capital required to support Floor spend</t>
  </si>
  <si>
    <t>{dCeilK}</t>
  </si>
  <si>
    <t>(ceilSpend + designOverrides.ceilDelta) /1000</t>
  </si>
  <si>
    <t>Designed Ceiling</t>
  </si>
  <si>
    <t>S3.D2.VALUES / S3.C3.LINE-CEIL / sub-cases</t>
  </si>
  <si>
    <t>{dDatumK}</t>
  </si>
  <si>
    <t>(datumSpend + designOverrides.datumDelta) /1000</t>
  </si>
  <si>
    <t>Designed Datum</t>
  </si>
  <si>
    <t>S3.D2.VALUES / S3.C3 multiple</t>
  </si>
  <si>
    <t>{dFloorK}</t>
  </si>
  <si>
    <t>(floorSpend + designOverrides.floorDelta) /1000</t>
  </si>
  <si>
    <t>Designed Floor</t>
  </si>
  <si>
    <t>S3.D2.VALUES / S3.C3.LINE-DF / S3.C3.FLOOR-CONTEXT</t>
  </si>
  <si>
    <t>{dCeilTotalM}</t>
  </si>
  <si>
    <t>computed designed Ceil capital /1e6</t>
  </si>
  <si>
    <t>Designed Ceiling capital total</t>
  </si>
  <si>
    <t>{dDatumTotalM}</t>
  </si>
  <si>
    <t>computed designed Datum capital /1e6</t>
  </si>
  <si>
    <t>Designed Datum capital total</t>
  </si>
  <si>
    <t>{dFloorTotalM}</t>
  </si>
  <si>
    <t>computed designed Floor capital /1e6</t>
  </si>
  <si>
    <t>Designed Floor capital total</t>
  </si>
  <si>
    <t>{designedState}</t>
  </si>
  <si>
    <t>Screen 3 classifier output</t>
  </si>
  <si>
    <t>Designed-state shape classification</t>
  </si>
  <si>
    <t>{ceilContext}</t>
  </si>
  <si>
    <t>computed conditional string</t>
  </si>
  <si>
    <t>exactly at your confirmed ceiling</t>
  </si>
  <si>
    <t>How designed Ceiling relates to Sketch Ceiling</t>
  </si>
  <si>
    <t>{gapK}</t>
  </si>
  <si>
    <t>abs(dDatum - boundary) /1000</t>
  </si>
  <si>
    <t>$56k</t>
  </si>
  <si>
    <t>Gap between Datum and limiting boundary</t>
  </si>
  <si>
    <t>S3.C3.PHYSICS-OE / S3.C3.PHYSICS-ABU</t>
  </si>
  <si>
    <t>{ceilGapK}</t>
  </si>
  <si>
    <t>(dCeil - dDatum) /1000</t>
  </si>
  <si>
    <t>$4k</t>
  </si>
  <si>
    <t>Gap from Datum to Ceiling (STRETCHED)</t>
  </si>
  <si>
    <t>{floorBelowK}</t>
  </si>
  <si>
    <t>(dDatum - dFloor) /1000</t>
  </si>
  <si>
    <t>$127k</t>
  </si>
  <si>
    <t>How far Floor sits below Datum</t>
  </si>
  <si>
    <t>S3.C3.PHYSICS-EXP / FLOOR-CONTEXT</t>
  </si>
  <si>
    <t>{ceilAboveK}</t>
  </si>
  <si>
    <t>$X k</t>
  </si>
  <si>
    <t>How far Ceiling sits above Datum (EXPANSIVE)</t>
  </si>
  <si>
    <t>{spreadK}</t>
  </si>
  <si>
    <t>(dCeil - dFloor) /1000</t>
  </si>
  <si>
    <t>Total spread Floor to Ceiling (COMPRESSED)</t>
  </si>
  <si>
    <t>{floorAlignment}</t>
  </si>
  <si>
    <t>aligned with the Sketch minimum</t>
  </si>
  <si>
    <t>How designed Floor relates to Sketch Floor</t>
  </si>
  <si>
    <t>{floorGapK}</t>
  </si>
  <si>
    <t>Gap from Floor to Datum</t>
  </si>
  <si>
    <t>═══ SECTION 7: ADVISOR BRIEF + COPY COUNT SUMMARY ═══</t>
  </si>
  <si>
    <t>String Count</t>
  </si>
  <si>
    <t>Section 1 — Dual-row strip</t>
  </si>
  <si>
    <t>Labels + 6 state pills + values + 6 state interpretations × 2 rows</t>
  </si>
  <si>
    <t>Section 2 — Card 1 'Shape Begins'</t>
  </si>
  <si>
    <t>Universal context card; always shown</t>
  </si>
  <si>
    <t>Section 3 — Card 2 'Shape You Have'</t>
  </si>
  <si>
    <t>1 opener + 1 bridge + 2 bullets + 6 state physics + 1 closer</t>
  </si>
  <si>
    <t>Section 4 — Card 3 'Shape You Want'</t>
  </si>
  <si>
    <t>Opener + 3 setup + 6 state physics + 6 state actions + 1 paradox + 1 sub-case + 1 floor context</t>
  </si>
  <si>
    <t>Section 5 — Card 4 'What It Takes'</t>
  </si>
  <si>
    <t>7 state lever descriptions + 4 universal footer/CTA</t>
  </si>
  <si>
    <t>TOTAL DISTINCT STRINGS</t>
  </si>
  <si>
    <t>~68</t>
  </si>
  <si>
    <t>Roughly 68 V1 strings to V2-voice (some reusable across rows)</t>
  </si>
  <si>
    <t>VOICE MATCH TARGETS</t>
  </si>
  <si>
    <t>BASE voice (Sheets 2-6)</t>
  </si>
  <si>
    <t>Match for S3.C2</t>
  </si>
  <si>
    <t>Direct, observational, 'you are here' frame</t>
  </si>
  <si>
    <t>PINNED V2 voice (Sheets 7-11)</t>
  </si>
  <si>
    <t>Gravity ref</t>
  </si>
  <si>
    <t>Past-tense reflective; borrow gravity for OVEREXTENDED states</t>
  </si>
  <si>
    <t>DESIGN Blocks voice (Sheets 14-17)</t>
  </si>
  <si>
    <t>Match for S3.C4</t>
  </si>
  <si>
    <t>Prescriptive 'what it costs' frame for lever descriptions</t>
  </si>
  <si>
    <t>ADVISOR DELIVERABLE FORMAT</t>
  </si>
  <si>
    <t>Fill Column G</t>
  </si>
  <si>
    <t>All rows</t>
  </si>
  <si>
    <t>Advisor writes V2-voiced string in 'V2 Advisor Voice (TO AUTHOR)' column G</t>
  </si>
  <si>
    <t>Preserve {variables}</t>
  </si>
  <si>
    <t>Mandatory</t>
  </si>
  <si>
    <t>Every {variable} from Column E must appear in Column G — engine substitutes at render</t>
  </si>
  <si>
    <t>DJ:250 verbatim doctrine</t>
  </si>
  <si>
    <t>On transcription</t>
  </si>
  <si>
    <t>Claude transcribes character-for-character including em-dashes (U+2014) and curly apostrophes (U+2019)</t>
  </si>
  <si>
    <t>DOWNSTREAM IMPLEMENTATION</t>
  </si>
  <si>
    <t>Step 3 workstream</t>
  </si>
  <si>
    <t>Post-Step-2 ship</t>
  </si>
  <si>
    <t>Claude wires advisor V2 strings into _S3 routing table similar to _PC for PINNED; replaces inline strings in btn-know-shape handler (lines 5217-5298) with _S3 routing function</t>
  </si>
  <si>
    <t>Browser verify protocol</t>
  </si>
  <si>
    <t>Per DJ:227/251/296</t>
  </si>
  <si>
    <t>DevTools Console zero red errors; zero literal {placeholder} text visible; full 5-screen end-to-end smoke</t>
  </si>
  <si>
    <t>Your spending sits above the ceiling this plan can support — at this level, the math doesn’t work.</t>
  </si>
  <si>
    <t>You’re {currentAge}, planning to retire at {retireAge} — that’s {yearsToRetire} year(s) for this plan to work.</t>
  </si>
  <si>
    <t>You’ve saved {portfolioK} so far and are adding about {annualContribK} each year.</t>
  </si>
  <si>
    <t>You’re aiming to spend about {datumK} per year in retirement. We’re building the Shape using {taxDragPct} tax drag and {inflationMode} inflation.</t>
  </si>
  <si>
    <t>Those inputs are the raw materials. The Sketch turned them into a Shape.</t>
  </si>
  <si>
    <t>Your spending target of {dDatumK}/yr sits {gapK}/yr below your designed Floor — substantial buffer, but money is sitting idle.</t>
  </si>
  <si>
    <t>At that projected balance, this plan supports:</t>
  </si>
  <si>
    <t>↓ Floor — {sketchFloorK}. The level this plan works to protect in rough markets — the lower bound it is built to sustain.</t>
  </si>
  <si>
    <t>↑ Ceiling — {sketchCeilK}. The level this plan can reach when markets cooperate — not a promise, but the upper edge the math supports.</t>
  </si>
  <si>
    <t>This is the Shape you have today — the range this plan can honestly support at your current inputs.</t>
  </si>
  <si>
    <t>Your designed Shape has a wide range — many different paths through markets still land you near this spending level.</t>
  </si>
  <si>
    <t>Your designed Floor and Ceiling sit only {spreadK}/yr apart — narrow operating range.</t>
  </si>
  <si>
    <t>You set your ceiling to {dCeilK}/yr — {ceilContext}.</t>
  </si>
  <si>
    <t>Your spending target of {dDatumK}/yr sits about {gapK}/yr above what this portfolio can structurally support. In most market paths you would run out of money at this level — this gap is the most important number on this page.</t>
  </si>
  <si>
    <t>Your spending target of {dDatumK}/yr sits inside your designed range — the plan is built to carry this level across a wide spread of market sequences, not just the favorable ones.</t>
  </si>
  <si>
    <t>⚠️ This Shape cannot be sustained as drawn. Your spending target exceeds what this portfolio can support in most market sequences. Use the actions below — or Studio — to adjust the levers until the math holds.</t>
  </si>
  <si>
    <t>Floor: {dFloorK}/yr — {floorAlignment}. That’s about {floorGapK}/yr below your spending line — the buffer this Shape gives you if markets disappoint.</t>
  </si>
  <si>
    <t>Your spending sits well below the Floor — the plan is set up to support significantly more than you’re asking for.</t>
  </si>
  <si>
    <t>Your spending sits between the Floor and the Ceiling — the plan carries this level across a wide range of futures, not just the best ones.</t>
  </si>
  <si>
    <t>The Floor and Ceiling are far apart — the plan can support many different outcomes around this spending line, with real room above and below.</t>
  </si>
  <si>
    <t>Your spending sits close to the Ceiling — the plan can reach it, but there isn’t much room for average or rough markets before it strains.</t>
  </si>
  <si>
    <t>Your spending sits above the Ceiling this plan can support — at that level, something else has to change for the math to work.</t>
  </si>
  <si>
    <t>Your spending sits well below the Floor — you’re asking for less than the plan is built to deliver, leaving meaningful capacity unused.</t>
  </si>
  <si>
    <t>You spending sits between the Floor and the Ceiling — the plan is designed to carry this level through a wide range of market paths.</t>
  </si>
  <si>
    <t>Your spending sits near your Ceiling — the plan can reach it, but there’s only a thin margin if returns come in average or worse than expected.</t>
  </si>
  <si>
    <t>On a middle‑of‑the‑road path, this plan is projected to reach about {projectedBalanceM} by retirement. The Ceiling shows what happens if markets do better than that; the Floor shows what happens if they do worse.</t>
  </si>
  <si>
    <t>Your target of {datumK} sits above your Ceiling — at this level, the plan doesn’t reach what you’re asking for, even when markets do well.</t>
  </si>
  <si>
    <t>Your target of {datumK} sits below your Floor — even the conservative case projects more income than this, leaving meaningful capacity you’re not using.</t>
  </si>
  <si>
    <t>Your target of {datumK} sits between the Floor and the Ceiling — the plan is built to carry this level across a wide range of market paths, not just the best ones.</t>
  </si>
  <si>
    <t>Your target of {datumK} sits inside a wide range — the Floor is well below you, the Ceiling is well above you, and many different futures still land near this level.</t>
  </si>
  <si>
    <t>Your target of {datumK} sits close to your Ceiling — the plan can reach it, but there isn’t much room if returns come in average or worse than expected.</t>
  </si>
  <si>
    <t>In Screen 2 you pulled the Shape directly — setting the Ceiling, spending line, and Floor you’re willing to live with.</t>
  </si>
  <si>
    <t>Your spending target of {dDatumK}/yr sits about {gapK}/yr below your designed Floor — a substantial buffer. The plan is built to carry more than you’re asking for; that unused capacity is a choice, not an accident.</t>
  </si>
  <si>
    <t>Your designed range is wide — the Floor sits about {floorBelowK}/yr below your spending line and the Ceiling sits about {ceilAboveK}/yr above it. Many different market paths still land you near this level.</t>
  </si>
  <si>
    <t>Your spending target of {dDatumK}/yr sits only about {ceilGapK}/yr below your designed Ceiling — the plan can reach it, but there is very little room if returns come in average or worse.</t>
  </si>
  <si>
    <t>The Sketch confirms a ceiling of {sketchCeilK}/yr for this portfolio and a spending target of {dDatumK}/yr, with no valid band between them. Studio shows which levers — contributions, retirement age, spending — must move, and by how much, to turn this into a structurally supportable Shape.</t>
  </si>
  <si>
    <t>This designed Shape is already supported. Studio shows where you have room — to retire earlier, raise your spending target, or keep the buffer as deliberate protection against bad sequences.</t>
  </si>
  <si>
    <t>The Sketch uses one straight‑line path. It doesn’t see account types, Social Security choices, early market drops, or Roth work. Those aren’t details — they often decide whether a Shape holds or breaks.</t>
  </si>
  <si>
    <t>Your spending of {dDatumK}/yr sits above your ceiling of {dCeilK}/yr. That’s structurally invalid — you’re planning to spend above the limit this Shape can support. Lower spending below {dCeilK}/yr or raise the ceiling to meet it.</t>
  </si>
  <si>
    <t>This designed Shape is structurally supported. Studio checks whether your real account mix, tax situation, and Social Security timing preserve that margin — or quietly pull you closer to the Floor.</t>
  </si>
  <si>
    <t>A wide designed range gives you options. Studio shows which lever moves — Social Security timing, account sequencing, or spending adjustments — narrow that range toward the landing point you actually care about.</t>
  </si>
  <si>
    <t>Your designed margin is thin. Studio maps how sequence‑of‑returns risk hits your real portfolio and which levers — Social Security timing, allocation, or spending — most effectively widen that margin.</t>
  </si>
  <si>
    <t>To support this designed Shape, something has to give: higher contributions, later retirement, lower spending, or a mix of inputs. Studio maps which levers close the gap most efficiently for your situation.</t>
  </si>
  <si>
    <t>To make this Shape viable, something has to give: lower your spending target below the Ceiling, delay retirement, add more capital or savings, or use Studio to see exactly which combination of levers closes this gap fastest.</t>
  </si>
  <si>
    <t>#</t>
  </si>
  <si>
    <t>2026-05-23 09:15 AM ET | 🟡 ROUND 7 ADVISOR HANDOFF — Screen 2 constraint/impossibility/voice-mismatch copy catalog. 14 strings authored ad-hoc by engineer during Phase 2.5 inverse solver work. Need advisor rewrite for: (1) voice consistency with Block A Cramer-path copy, (2) actionable diagnostic (WHY this constraint fires + what to try), (3) Shape vocabulary (no engineer-speak ratios). Dispatch trigger: Round 6 ships clean + advisor returns copy + Captain refinement. DJ:250 verbatim-from-workbook applies.</t>
  </si>
  <si>
    <t>📋 SECTION A — INSTRUCTIONS FOR ADVISOR</t>
  </si>
  <si>
    <t>1. Read the SCREEN 2 — TENSION COPY sheet first to absorb the established voice for Screen 2 constraint feedback.</t>
  </si>
  <si>
    <t>2. Each row below is one copy string currently in source code. Column D = current copy verbatim. Column E = plain English meaning. Column F = what user did to trigger it. Column G = what user is trying to figure out.</t>
  </si>
  <si>
    <t>3. Write replacement copy in Column H. Match the observational/structural voice from Block A Cramer paths.</t>
  </si>
  <si>
    <t>4. KEY voice rules: observational not prescriptive; honest not alarmist; Shape vocabulary (Ceiling/Floor/Datum/Capacity/Resilience); no engineer ratios like "5.1:0.20" or "$83/yr per $1,000 per dollar"; explain WHY a constraint fires + suggest what to try.</t>
  </si>
  <si>
    <t>5. For impossibility copy (TARGET NOT REACHABLE, OUTSIDE PRACTICAL RANGE, negative portfolio): explain which lever ran out of room + suggest an alternative direction.</t>
  </si>
  <si>
    <t>6. For coupling claims (No lever raises the floor without raising the ceiling — 3.61× more): rewrite without the multiplicative ratio. Use directional language ("Raising the floor lifts the ceiling more than the floor itself").</t>
  </si>
  <si>
    <t>7. For Block E OVEREXTENDED Datum drag: match the tone of Block A Ceiling pull copy ("You pulled the ceiling. Here is what it takes to hold it.") — should offer suggestions, not just declare impossibility.</t>
  </si>
  <si>
    <t>8. Captain will refine in Column I before dispatching to Claude as Round 7.</t>
  </si>
  <si>
    <t>📋 SECTION B — 14 CONSTRAINT COPY STRINGS (priorities + advisor work needed)</t>
  </si>
  <si>
    <t>Instance Name</t>
  </si>
  <si>
    <t>Source Line</t>
  </si>
  <si>
    <t>Current Copy (verbatim)</t>
  </si>
  <si>
    <t>Plain English Meaning</t>
  </si>
  <si>
    <t>User Trigger</t>
  </si>
  <si>
    <t>User Question</t>
  </si>
  <si>
    <t>NEW COPY (advisor)</t>
  </si>
  <si>
    <t>Captain Refinement</t>
  </si>
  <si>
    <t>Block E OVEREXTENDED Datum drag</t>
  </si>
  <si>
    <t>L2973</t>
  </si>
  <si>
    <t>User pulled Datum (spending target) UP to a level above what current Ceiling can support. Block E routes to OVEREXTENDED state. Currently shows ONLY state declaration + Studio CTA — no lever suggestions.</t>
  </si>
  <si>
    <t>Datum dragged upward into OVEREXTENDED zone (target spend &gt; modeled ceiling)</t>
  </si>
  <si>
    <t>How do I get this Datum to be supportable? What can I move?</t>
  </si>
  <si>
    <t>Most Impactful Lever — Three inputs cap</t>
  </si>
  <si>
    <t>L3122</t>
  </si>
  <si>
    <t>Template ML_08 fires when 3+ levers moved. Captain confirmed math layer may also cap at top-3 attribution. Need diagnostic from Claude before rewrite.</t>
  </si>
  <si>
    <t>User moves 3 or more sliders on Screen 2 (e.g., Capital + Datum + Contributions + Age + Retire all changed)</t>
  </si>
  <si>
    <t>Which of my 5 changes drove the biggest shift? Did they amplify or offset each other?</t>
  </si>
  <si>
    <t>TARGET NOT REACHABLE (negative portfolio)</t>
  </si>
  <si>
    <t>L7247-7249</t>
  </si>
  <si>
    <t>User dragged Ceiling/Floor combination so extreme that solveInverse Cramer 2x2 returns negative portfolio requirement (mathematically impossible).</t>
  </si>
  <si>
    <t>Floor pulled UP simultaneously with Ceiling pulled DOWN by large margins</t>
  </si>
  <si>
    <t>Why doesn't this work? Can I get close to it some other way?</t>
  </si>
  <si>
    <t>OUTSIDE PRACTICAL RANGE</t>
  </si>
  <si>
    <t>L7254</t>
  </si>
  <si>
    <t>User dragged Ceiling + Floor to a corner combination that requires lever changes beyond FEASIBILITY RULES soft limits ($50K/yr ΔK, 2× portfolio ΔP, 15yr ΔY) but math is feasible.</t>
  </si>
  <si>
    <t>Floor pulled UP + Ceiling pulled DOWN to extreme corner combination</t>
  </si>
  <si>
    <t>WHICH lever is impractical? What if I adjusted just one?</t>
  </si>
  <si>
    <t>Constrained target combo intro</t>
  </si>
  <si>
    <t>L7262</t>
  </si>
  <si>
    <t>Ceiling at $X k/yr and floor at $Y k/yr is a constrained target — it requires moving both portfolio and contributions simultaneously.</t>
  </si>
  <si>
    <t>Block C COMBO copy fires when ceiling and floor BOTH pulled, requiring dual-lever Cramer solve.</t>
  </si>
  <si>
    <t>Ceiling + Floor both pulled (any direction)</t>
  </si>
  <si>
    <t>Why does this need TWO levers? Can't I just do one?</t>
  </si>
  <si>
    <t>Real lever movement intro (Block A Ceiling)</t>
  </si>
  <si>
    <t>L7287</t>
  </si>
  <si>
    <t>Moving the ceiling X direction by Y% requires real lever movement — here are the three paths, ranked by practicality.</t>
  </si>
  <si>
    <t>Block A intro copy when ceiling pulled. Sets up the 3-path Cramer presentation. Currently OK but uses "real lever movement" which could be sharper.</t>
  </si>
  <si>
    <t>Ceiling-only drag (no Floor/Datum touched)</t>
  </si>
  <si>
    <t>What does it actually take to hold this Ceiling?</t>
  </si>
  <si>
    <t>Lever cost of floor pull (Block B intro)</t>
  </si>
  <si>
    <t>L7339</t>
  </si>
  <si>
    <t>Block B intro copy when floor pulled. Sets up the 3-path Cramer presentation for floor.</t>
  </si>
  <si>
    <t>Floor-only drag (no Ceiling/Datum touched)</t>
  </si>
  <si>
    <t>What does it cost to hold this Floor up?</t>
  </si>
  <si>
    <t>No lever raises floor without ceiling (coupling claim)</t>
  </si>
  <si>
    <t>L7345</t>
  </si>
  <si>
    <t>No lever raises the floor without also raising the ceiling. At your horizon, each dollar you add to reach this floor moves your ceiling 3.61× more.</t>
  </si>
  <si>
    <t>Block B disclosure of coupling constraint. The 3.61× ratio is mathematically correct but reads as engineer-speak. Also: visual cone doesn't actually update ceiling during floor drag (Captain F10 finding).</t>
  </si>
  <si>
    <t>Floor pulled UP (asking more of the plan)</t>
  </si>
  <si>
    <t>Why is my ceiling moving too? Is that good or bad?</t>
  </si>
  <si>
    <t>Securing floor via contributions alone (softWarn)</t>
  </si>
  <si>
    <t>L7362</t>
  </si>
  <si>
    <t>Securing that floor via contributions alone requires $X/year — more than one lever can carry. See the combination path.</t>
  </si>
  <si>
    <t>Block B PATH 2 contributions soft-warn copy when single-lever solution exceeds feasibility. Promises "see combination path" but combo may not render (Captain COMBO bug finding).</t>
  </si>
  <si>
    <t>Floor pulled UP enough that single-lever contributions exceeds limit</t>
  </si>
  <si>
    <t>OK so contributions alone don't work — what combo will?</t>
  </si>
  <si>
    <t>Securing floor through retirement timing (softWarn)</t>
  </si>
  <si>
    <t>L7372</t>
  </si>
  <si>
    <t>Securing that floor through retirement timing alone would require delaying X years. Delay retirement by X years years to grow both boundaries. The floor lifts less than the ceiling with additional time — but consistently.</t>
  </si>
  <si>
    <t>Block B PATH 3 retire age soft-warn copy. Also has visible typo: "years years" (duplicated word).</t>
  </si>
  <si>
    <t>Floor pulled UP enough that single-lever retire-delay exceeds limit</t>
  </si>
  <si>
    <t>How many years would I really need? Is there a smarter way?</t>
  </si>
  <si>
    <t>GUARANTEED INCOME PATH section</t>
  </si>
  <si>
    <t>L7379</t>
  </si>
  <si>
    <t>Alternatively, guaranteed income sources — Social Security timing or annuity income — can raise your floor without additional portfolio growth. Studio can model the specific amounts given your actual account structure.</t>
  </si>
  <si>
    <t>Block B optional alternative path mentioning guaranteed income lever as Studio-domain extension.</t>
  </si>
  <si>
    <t>Floor pulled UP and any of paths 1-3 trigger</t>
  </si>
  <si>
    <t>Wait, there are MORE options than the 3 shown? What about Social Security?</t>
  </si>
  <si>
    <t>PORTFOLIO body — $83/yr per $1,000 per dollar</t>
  </si>
  <si>
    <t>L7350 (ratio copy)</t>
  </si>
  <si>
    <t>Add $X to your starting balance. Portfolio raises the floor by $83/yr per $1,000 per dollar added — and always raises the ceiling too, by $299/yr per $1,000.</t>
  </si>
  <si>
    <t>Block B PATH 1 PORTFOLIO body text. Compounded units ($/yr per $1,000 per dollar) are nearly impossible to parse mentally. Already in SCREEN 2 — RATIO COPY sheet — bundles here for advisor context.</t>
  </si>
  <si>
    <t>Floor pulled UP</t>
  </si>
  <si>
    <t>How much does each dollar of capital actually help?</t>
  </si>
  <si>
    <t>CONTRIBUTIONS body — ceiling-to-floor ratio 5.1:0.20</t>
  </si>
  <si>
    <t>L7310-7311</t>
  </si>
  <si>
    <t>Add $X/year to contributions. Contributions move the ceiling effectively but with a larger ceiling-to-floor ratio (5.1:0.20) — the floor rises less relative to the ceiling. Your floor would move $Y k/yr.</t>
  </si>
  <si>
    <t>Block A PATH 2 CONTRIBUTIONS body text. Engineer ratio notation. Already in SCREEN 2 — RATIO COPY sheet — bundles here for advisor context.</t>
  </si>
  <si>
    <t>Ceiling pulled UP</t>
  </si>
  <si>
    <t>Why is contributions less efficient than portfolio? What does this ratio mean?</t>
  </si>
  <si>
    <t>Coupling disclosure 3.61× more (alternate phrasing)</t>
  </si>
  <si>
    <t>L7344-7345</t>
  </si>
  <si>
    <t>Same string as #8 but flagged in RATIO COPY sheet. Captain Finding 10 also questions whether ceiling SHOULD visually move during floor drag (claim/visual reconciliation).</t>
  </si>
  <si>
    <t>OK 3.61× more — but is that helping me or hurting me?</t>
  </si>
  <si>
    <t>📋 SECTION C — IMPLEMENTATION NOTES (for Claude post-advisor return)</t>
  </si>
  <si>
    <t>1. All 14 strings live in sketch.html populateZoneC function (around L7100-L7400) plus one in ML-prepend computation block (L3122 ML_08).</t>
  </si>
  <si>
    <t>2. Most strings interpolate variables — preserve {variable} substitution sites when swapping copy. Specific variables: r.ceilTarget, r.floorTarget, fmtKyr(), fmtContrib(), fmtYrs(), _dc_dir, _dc_pct, _ceilFloorRatioPort, pth.dK_dollars, pth.dY.</t>
  </si>
  <si>
    <t>3. Row #2 (ML_08 Three inputs) blocked on Round 6 diagnostic — need Claude to confirm whether math layer caps at top-3 or only copy template hardcodes "Three". If math caps, separate fix needed before copy swap.</t>
  </si>
  <si>
    <t>4. Row #10 (Securing floor through retirement) has a visible typo "years years" — Captain confirms this needs fixing in advisor rewrite or by Claude during Round 7.</t>
  </si>
  <si>
    <t>5. Rows #8 + #14 are the same string (coupling claim) flagged from two angles. Single advisor rewrite serves both.</t>
  </si>
  <si>
    <t>6. Rows #12-14 also appear in SCREEN 2 — RATIO COPY sheet. Bundle to advisor in one ask; we will dispatch once.</t>
  </si>
  <si>
    <t>7. Per DJ:250 verbatim-from-workbook: engineers transcribe; they do not author. Captain confirms final copy in Column I before Round 7 dispatch.</t>
  </si>
  <si>
    <t>8. Round 7 dispatch will bundle: this sheet + SCREEN 2 — TENSION COPY (already locked) + SCREEN 2 — RATIO COPY + DESIGN — COPY BLOCKS Block E section (pending separate authoring).</t>
  </si>
  <si>
    <t>📋 SECTION D — DISPATCH STATUS</t>
  </si>
  <si>
    <t>STATUS: AWAITING ADVISOR AUTHORING + Round 6 ship clean</t>
  </si>
  <si>
    <t>DISPATCH TRIGGER: (1) Round 6 lands clean (tension copy swap + COMBO Accept + Most Impactful Lever diagnostic resolved); (2) advisor returns Column H authored copy for all 14 strings (or partial — see Section B priority highlighting); (3) Captain refines Column I; (4) Round 7 prompt drafted bundling this sheet + RATIO COPY + Block E content.</t>
  </si>
  <si>
    <t>CAPTAIN ACTION: Forward this sheet (with TENSION COPY + RATIO COPY) to advisor as one bundled request. Note priority highlighting on rows #1, #2, #3, #4, #8 for any time-constrained advisor pass.</t>
  </si>
  <si>
    <t>ROUND 6 DEPENDENCY: Row #2 (ML_08 Three inputs) requires Claude diagnostic before copy can be safely authored — need to know if math layer also caps at top-3 attribution.</t>
  </si>
  <si>
    <t>📐 SCREEN 2 — RATIO COPY · Advisor copy refresh queue for ratio/efficiency strings flagged as engineer-speak by Captain 2026-05-22 ~11:00 PM ET. Workflow mirrors SCREEN 2 — TENSION COPY sheet: advisor writes plain-English replacements → Captain refines → Round 7 dispatches to Claude as verbatim swap. DJ:250 verbatim-from-workbook applies — engineers never re-author. Status: 4 instances flagged (3 need advisor rewrite, 1 fixes itself in Round 5 schema-drift swap).</t>
  </si>
  <si>
    <t>SECTION A — INSTRUCTIONS FOR ADVISOR</t>
  </si>
  <si>
    <t>1. Read the CURRENT COPY column verbatim — this is what the user sees today.</t>
  </si>
  <si>
    <t>2. Read the PLAIN-ENGLISH MEANING column — this explains what the math actually does in everyday language.</t>
  </si>
  <si>
    <t>3. Read the USER QUESTION column — this is what the user is trying to figure out at that moment.</t>
  </si>
  <si>
    <t>4. Write a replacement in the NEW COPY column that preserves the math accuracy but reads cleanly to a non-financial-engineer.</t>
  </si>
  <si>
    <t>5. Match the existing brand voice: observational, structural, never prescriptive. No fear-mongering. No "should" or "must."</t>
  </si>
  <si>
    <t>6. Captain reviews → refines → dispatches as Round 7 verbatim swap to Claude.</t>
  </si>
  <si>
    <t>7. Variables in {curly_braces} are dynamic — preserve them exactly as written.</t>
  </si>
  <si>
    <t>SECTION B — 4 INSTANCES FLAGGED</t>
  </si>
  <si>
    <t>INSTANCE</t>
  </si>
  <si>
    <t>SOURCE LINE</t>
  </si>
  <si>
    <t>TRIGGER CONDITION (when this copy fires)</t>
  </si>
  <si>
    <t>CURRENT COPY (verbatim from source)</t>
  </si>
  <si>
    <t>PLAIN-ENGLISH MEANING (what the math does)</t>
  </si>
  <si>
    <t>USER QUESTION (what they're asking)</t>
  </si>
  <si>
    <t>STATUS</t>
  </si>
  <si>
    <t>NEW COPY (advisor authored)</t>
  </si>
  <si>
    <t>CAPTAIN REFINEMENT</t>
  </si>
  <si>
    <t>Instance 1 — Block A PATH 2 CONTRIBUTIONS body text</t>
  </si>
  <si>
    <t>Ceiling drag UP → user offered 3 paths. PATH 2 explains why adding contributions raises the ceiling more than it raises the floor.</t>
  </si>
  <si>
    <t>Add {dK_dollars} to contributions. Contributions move the ceiling effectively but with a larger ceiling-to-floor ratio ({_ceilFloorRatio}:{_floorRatioC}) — the floor rises less relative to the ceiling. Your floor would move {floorEffect}.</t>
  </si>
  <si>
    <t>For every $1 of new annual contribution, the ceiling moves up about 5.1x more than the floor moves up. Translation: contributions are great for raising your spending capacity in good markets (ceiling), but not great for raising the protection in bad markets (floor). They reward upside, not downside.</t>
  </si>
  <si>
    <t>I just pulled the ceiling up — why is adding contributions a different kind of trade-off than adding portfolio? What am I really getting and giving up?</t>
  </si>
  <si>
    <t>🔴 NEEDS REWRITE</t>
  </si>
  <si>
    <t>Instance 2 — Block B PATH 1 PORTFOLIO body text</t>
  </si>
  <si>
    <t>L7353</t>
  </si>
  <si>
    <t>Floor drag UP → user offered 3 paths. PATH 1 explains how adding to starting portfolio balance raises the floor (and also the ceiling).</t>
  </si>
  <si>
    <t>Add {dP_M} to your starting balance. Portfolio raises the floor by {a2/$1k} per dollar added — and always raises the ceiling too, by {a1/$1k}.</t>
  </si>
  <si>
    <t>Every $1,000 you add to your starting portfolio raises your safe floor spending by ~$83/year AND raises your ceiling spending by ~$299/year. Translation: adding capital lifts both edges of your range, but the ceiling lifts ~3.6x more than the floor does. Capital is a "rising tide" lever — every dollar moves everything.</t>
  </si>
  <si>
    <t>I just pulled the floor up — what happens to my whole shape if I add more starting capital? Does it just lift the floor, or does it lift the ceiling too?</t>
  </si>
  <si>
    <t>Instance 3 — Block B coupling disclosure (mandatory per CLAUDE §10)</t>
  </si>
  <si>
    <t>Floor drag UP → mandatory disclosure shown ABOVE the three paths. Tells user the floor cannot be raised in isolation.</t>
  </si>
  <si>
    <t>No lever raises the floor without also raising the ceiling. At your horizon, each dollar you add to reach this floor moves your ceiling {ratio}× more.</t>
  </si>
  <si>
    <t>There is no "floor-only" lever in the Sketch. Every dollar you spend trying to raise your floor also raises your ceiling — and the ceiling actually moves MORE than the floor does (~3.6x more at the default 25-year horizon). Translation: you can't buy resilience without also buying capacity. They're coupled.</t>
  </si>
  <si>
    <t>I want a higher floor (more protection). Can I just raise the floor without changing anything else? What's the catch?</t>
  </si>
  <si>
    <t>Instance 4 — Block A PATH 3 RETIRE AGE body text</t>
  </si>
  <si>
    <t>L7316</t>
  </si>
  <si>
    <t>Ceiling drag UP → user offered 3 paths. PATH 3 explains how delaying retirement raises the ceiling.</t>
  </si>
  <si>
    <t>Delay retirement by {dY} years. Time amplifies every other input — but it's non-linear. Each additional year past {activationAge} yields a different ceiling gain.</t>
  </si>
  <si>
    <t>Working longer compounds your portfolio AND shortens the years your money has to last. The combined effect is non-linear — year 1 of delay gives a different boost than year 5. Right now this string shows "past undefined" because of a Round 5 schema-drift bug Claude is fixing — once fixed, it will read "past 65" (or whatever retire-age the user has set).</t>
  </si>
  <si>
    <t>I just pulled the ceiling up — how does delaying retirement actually help? Is it the extra contributions, the extra compounding, or both?</t>
  </si>
  <si>
    <t>✅ FIXES ITSELF IN ROUND 5 (s.activationAge → _sNorm.activationAge schema-drift swap)</t>
  </si>
  <si>
    <t>SECTION C — IMPLEMENTATION NOTES FOR ROUND 7 DISPATCH</t>
  </si>
  <si>
    <t>1. Once advisor authors NEW COPY column, Captain refines in CAPTAIN REFINEMENT column.</t>
  </si>
  <si>
    <t>2. Round 7 Claude dispatch swaps 3 strings (Instances 1, 2, 3) verbatim at L7310-7311 / L7353 / L7344-7345.</t>
  </si>
  <si>
    <t>3. Instance 4 needs NO swap — it fixes itself when Round 5 lands (s.activationAge → _sNorm.activationAge already in scope).</t>
  </si>
  <si>
    <t>4. DO-NOT-TOUCH: the dynamic variable derivations (r.a1, r.a2, r.b1, r.b2, pth.dK_dollars, pth.dP_M, etc.) — these are math layer outputs. Advisor only rewrites the natural-language wrapper.</t>
  </si>
  <si>
    <t>5. Variable injection table:</t>
  </si>
  <si>
    <t xml:space="preserve">   {a1} = ceiling sensitivity to portfolio ($/yr per $1k portfolio) — at 25-yr horizon ~$299/yr per $1k</t>
  </si>
  <si>
    <t xml:space="preserve">   {a2} = floor sensitivity to portfolio ($/yr per $1k portfolio) — at 25-yr horizon ~$83/yr per $1k</t>
  </si>
  <si>
    <t xml:space="preserve">   {b1} = ceiling sensitivity to contributions ($/yr per $1k annual contrib)</t>
  </si>
  <si>
    <t xml:space="preserve">   {b2} = floor sensitivity to contributions ($/yr per $1k annual contrib)</t>
  </si>
  <si>
    <t xml:space="preserve">   {ratio} = a1/a2 ratio (how much ceiling moves vs floor per $1 of portfolio added) — typically ~3.6x at 25-yr horizon</t>
  </si>
  <si>
    <t xml:space="preserve">   {dP_M} = dollars to add to portfolio (e.g., "$556,000")</t>
  </si>
  <si>
    <t xml:space="preserve">   {dK_dollars} = dollars/yr to add to contributions (e.g., "$47,700/year")</t>
  </si>
  <si>
    <t xml:space="preserve">   {dY} = years to delay retirement (e.g., "12 years")</t>
  </si>
  <si>
    <t xml:space="preserve">   {activationAge} = the user's current retire-age slider value (e.g., "65")</t>
  </si>
  <si>
    <t xml:space="preserve">   {floorEffect} = how much the floor would move as side-effect ($/yr)</t>
  </si>
  <si>
    <t>SECTION D — DISPATCH STATUS</t>
  </si>
  <si>
    <t>Status: AWAITING ADVISOR COPY AUTHORING</t>
  </si>
  <si>
    <t>Created: 2026-05-22 ~11:05 PM ET by Copilot after Captain flagged ratio language ("5.1:1 ratio", "$/yr per $1,000 per dollar added") as engineer-speak that users can't parse.</t>
  </si>
  <si>
    <t>Dispatch trigger: (1) Round 5 ships clean → DJ:242 releases. (2) Round 6 tension copy verbatim swap dispatches first. (3) Round 7 = Block E lever suggestions (DESIGN — COPY BLOCKS sheet Block E pending) + this ratio copy swap (3 strings). Round 7 bundles both since both need advisor authoring.</t>
  </si>
  <si>
    <t>Captain action: Forward this sheet to advisor. When advisor returns NEW COPY column populated, Captain refines, then Copilot drafts Round 7 dispatch.</t>
  </si>
  <si>
    <t>Doctrine: DJ:250 verbatim-from-workbook. DJ:344 schema-drift reinforced (Instance 4 fixes itself in Round 5).</t>
  </si>
  <si>
    <t>2026-05-22 ~10:00 PM ET | 🎯 CANONICAL TENSION EXPLAINER COPY for Screen 2 dirty-state #req-head + 8 tension-band strings. Source verified at L6640-6664. Thresholds CONFIRMED: ceilRatio uses &gt; 0.75 / &gt; 0.4 / else (3-band); floorRatio and datumRatio use &gt; 0.75 / else (2-band). All 8 advisor states map 1:1 to existing source logic — NO routing changes needed. Round 5 string-swap only. DJ:250 verbatim-from-workbook doctrine applies. Status: AWAITING ROUND 4 LAND CLEAN before dispatch.</t>
  </si>
  <si>
    <t>SECTION A — DIRTY-STATE HEADER (#req-head when designOverrides.isDirty)</t>
  </si>
  <si>
    <t>Element</t>
  </si>
  <si>
    <t>Verbatim Copy</t>
  </si>
  <si>
    <t>isDirty === true</t>
  </si>
  <si>
    <t>#req-head</t>
  </si>
  <si>
    <t>WHAT IT TAKES TO REACH THIS SHAPE</t>
  </si>
  <si>
    <t>TBD — Claude locates #req-head static text in source</t>
  </si>
  <si>
    <t>isDirty === false</t>
  </si>
  <si>
    <t>#req-head (default)</t>
  </si>
  <si>
    <t>TO REACH THIS DESIGN:</t>
  </si>
  <si>
    <t>Existing (no change)</t>
  </si>
  <si>
    <t>SECTION B — 8 TENSION-BAND STRINGS (L6640-6664 verbatim swap targets)</t>
  </si>
  <si>
    <t>State #</t>
  </si>
  <si>
    <t>Trigger Condition (verbatim from source)</t>
  </si>
  <si>
    <t>Dominant Bar</t>
  </si>
  <si>
    <t>Tension Band</t>
  </si>
  <si>
    <t>NEW Verbatim Copy</t>
  </si>
  <si>
    <t>OLD Placeholder (DJ:250 TODO)</t>
  </si>
  <si>
    <t>_max === 0</t>
  </si>
  <si>
    <t>None (default)</t>
  </si>
  <si>
    <t>No drag</t>
  </si>
  <si>
    <t>Drag the Ceiling, Floor, or spending line to see how hard you're asking this Shape to work.</t>
  </si>
  <si>
    <t>Drag the Ceiling, Floor, or Datum handles to shape your cone.</t>
  </si>
  <si>
    <t>L6643</t>
  </si>
  <si>
    <t>_max === ceilRatio &amp;&amp; ceilRatio &gt; 0.75</t>
  </si>
  <si>
    <t>&gt; 0.75 (high)</t>
  </si>
  <si>
    <t>Ceiling is near its structural limit — this Shape now leans heavily on strong markets and your contributions holding steady.</t>
  </si>
  <si>
    <t>At structural ceiling — your portfolio must deliver perfectly.</t>
  </si>
  <si>
    <t>L6647</t>
  </si>
  <si>
    <t>_max === ceilRatio &amp;&amp; ceilRatio &gt; 0.4 (and ≤ 0.75)</t>
  </si>
  <si>
    <t>&gt; 0.4, ≤ 0.75 (mid)</t>
  </si>
  <si>
    <t>Ceiling under real pressure — more of this plan now depends on growth doing its part.</t>
  </si>
  <si>
    <t>Ceiling under pressure — growth assumptions tightening.</t>
  </si>
  <si>
    <t>L6649</t>
  </si>
  <si>
    <t>_max === ceilRatio &amp;&amp; else (≤ 0.4)</t>
  </si>
  <si>
    <t>≤ 0.4 (low)</t>
  </si>
  <si>
    <t>Ceiling raised but still in a workable band — you're asking for more, but the plan still has room above Floor.</t>
  </si>
  <si>
    <t>Ceiling elevated — capital or time must expand to sustain.</t>
  </si>
  <si>
    <t>L6651</t>
  </si>
  <si>
    <t>_max === floorRatio &amp;&amp; floorRatio &gt; 0.75</t>
  </si>
  <si>
    <t>Floor pressed toward its lower boundary — resilience is thin if returns or income slip.</t>
  </si>
  <si>
    <t>Floor near structural minimum — narrow survival band.</t>
  </si>
  <si>
    <t>L6655</t>
  </si>
  <si>
    <t>_max === floorRatio &amp;&amp; else (≤ 0.75)</t>
  </si>
  <si>
    <t>≤ 0.75 (low/mid)</t>
  </si>
  <si>
    <t>Floor pulled down — resilience is shrinking and more outcomes cluster near your minimum.</t>
  </si>
  <si>
    <t>Floor compressed — risk of undershoot rising.</t>
  </si>
  <si>
    <t>L6657</t>
  </si>
  <si>
    <t>_max === datumRatio &amp;&amp; datumRatio &gt; 0.75</t>
  </si>
  <si>
    <t>Spending line sits close to the Ceiling — very little capacity left above your spending target.</t>
  </si>
  <si>
    <t>Datum near ceiling — very little margin above target.</t>
  </si>
  <si>
    <t>L6661</t>
  </si>
  <si>
    <t>_max === datumRatio &amp;&amp; else (≤ 0.75)</t>
  </si>
  <si>
    <t>Spending line under tension — you're noticeably closer to the Ceiling than in the baseline Shape.</t>
  </si>
  <si>
    <t>Datum tension — spending elevated relative to baseline.</t>
  </si>
  <si>
    <t>L6663</t>
  </si>
  <si>
    <t>SECTION C — IMPLEMENTATION NOTES FOR CLAUDE (Round 5 dispatch)</t>
  </si>
  <si>
    <t>Replace 8 placeholder strings at L6643, L6647, L6649, L6651, L6655, L6657, L6661, L6663 with NEW Verbatim Copy from column E (Section B). Match exact line numbers.</t>
  </si>
  <si>
    <t>Remove 8 DJ:250 TODO comment flags adjacent to those strings. Also remove the 1 block-level DJ:250 comment if present.</t>
  </si>
  <si>
    <t>Locate #req-head element. Modify JS controlling #req-head innerHTML/textContent: reads "WHAT IT TAKES TO REACH THIS SHAPE" when designOverrides.isDirty === true; reverts to "TO REACH THIS DESIGN:" when isDirty === false.</t>
  </si>
  <si>
    <t>DO NOT modify thresholds (0.75, 0.4). DO NOT modify routing logic. DO NOT modify _max calculation. String swap only.</t>
  </si>
  <si>
    <t>Add new DJ entry (DJ:345 provisional): advisor-authored-copy-canonical-source — external advisor writes copy, lives in SCREEN 2 — TENSION COPY sheet before code; engineers ship verbatim per DJ:250.</t>
  </si>
  <si>
    <t>Scope estimate: 8 string swaps + 8 comment removals + 1 conditional header text change ≈ ~17 line touches. Surgical, no architectural risk.</t>
  </si>
  <si>
    <t>SECTION D — SEQUENCING / DISPATCH STATUS</t>
  </si>
  <si>
    <t>Status</t>
  </si>
  <si>
    <t>AWAITING ROUND 4 LAND CLEAN</t>
  </si>
  <si>
    <t>Blocking on</t>
  </si>
  <si>
    <t>Phase 2.5 Round 4 bundled commit (4 BLOCKERs) — Block A routing, 3-column layout, d2s-hud orphan removal, panel min-height</t>
  </si>
  <si>
    <t>Dispatch trigger</t>
  </si>
  <si>
    <t>After Round 4 deploy lands + Captain DevTools re-verify passes + DJ:242 releases</t>
  </si>
  <si>
    <t>Dispatch name</t>
  </si>
  <si>
    <t>Phase 2.5 Round 5 — Tension Copy Verbatim Swap</t>
  </si>
  <si>
    <t>Estimated dispatch</t>
  </si>
  <si>
    <t>After Round 4 smoke-test passes (likely 2026-05-23)</t>
  </si>
  <si>
    <t>Captain action when ready</t>
  </si>
  <si>
    <t>Copy this sheet wholesale to Claude's reference workbook, then dispatch Round 5 prompt</t>
  </si>
  <si>
    <t>That spending line sits beyond what this plan can currently carry. To make it supportable, you’d need more capital, higher contributions, a later retirement date, or some mix of those.</t>
  </si>
  <si>
    <t>You moved several levers at once. This summary highlights which change is doing most of the work and whether the others are reinforcing it or pulling against it.</t>
  </si>
  <si>
    <t>This combination would require a negative portfolio — more owed than owned — so no real plan can reach it. Bring the Floor and Ceiling closer to today’s Shape or explore a less extreme mix in Studio.</t>
  </si>
  <si>
    <t>Hitting both targets at once would need lever moves beyond practical ranges for capital, savings, or timing. Ease one end of the Shape, or use Studio to test a version that fits your real accounts.</t>
  </si>
  <si>
    <t>With both Floor and Ceiling pulled, this design needs portfolio and contribution changes working together; neither lever on its own can reach this target combo.</t>
  </si>
  <si>
    <t>You pulled the Ceiling. Holding it here requires real changes in the plan — these three paths show different ways to carry that higher line.</t>
  </si>
  <si>
    <t>You pulled the Floor up. These paths show what it would take, in capital, savings, or timing, to keep that higher boundary in place.</t>
  </si>
  <si>
    <t>In this Sketch there is no floor-only move. Every dollar you use to lift the Floor also lifts the Ceiling, and at this horizon the Ceiling still moves more than the Floor.</t>
  </si>
  <si>
    <t>Using contributions alone to hold this Floor would require $X/year — more than that lever can reasonably carry on its own. The combination path shows a mix of levers that shares the load.</t>
  </si>
  <si>
    <t>Relying only on retirement timing to hold this Floor would mean delaying about X more years — a heavy ask. A mixed path can often reach similar floors with less delay.</t>
  </si>
  <si>
    <t>Income sources like Social Security and annuities can raise your Floor without needing extra portfolio growth. Studio can model how large those streams would need to be for your plan.</t>
  </si>
  <si>
    <t>Add {dP_M} to your starting balance. Every extra $1,000 in your portfolio raises the Floor by about {a2/$1k}/yr and the Ceiling by about {a1/$1k}/yr — one move lifts both edges of your range.</t>
  </si>
  <si>
    <t>Add {dK_dollars} to your annual contributions. That lifts your Ceiling much faster than your Floor — your lower boundary only rises by about {floorEffect}.</t>
  </si>
  <si>
    <t>That coupling means raising your Floor also expands your Ceiling; you can’t tighten one edge of the range without loosening the other.</t>
  </si>
  <si>
    <t>SECTION E — RELIEF BRANCH COPY (added 2026-05-23, deferred from Round 6 → Round 7 per Claude Q7 finding)</t>
  </si>
  <si>
    <t>Context: When bars are dragged DOWN (reduce-the-ask direction), DJ:346 RELIEF doctrine fires: bar turns BLUE, label switches to '&lt;BAR&gt; RELIEF'. The 3 strings below are NEW dynamic copy that should explain what RELIEF means at each handle. These are NOT yet authored by advisor. Send this section bundled with RATIO + CONSTRAINT for advisor to author. Once authored, Round 7 dispatches the swap.</t>
  </si>
  <si>
    <t>Branch Variable</t>
  </si>
  <si>
    <t>Bar Display</t>
  </si>
  <si>
    <t>Voice Reference (advisor's earlier states)</t>
  </si>
  <si>
    <t>NEW COPY (advisor authoring needed)</t>
  </si>
  <si>
    <t>E1</t>
  </si>
  <si>
    <t>L6645</t>
  </si>
  <si>
    <t>_cRelief</t>
  </si>
  <si>
    <t>Ceiling dragged DOWN below baseline (delta &lt; 0)</t>
  </si>
  <si>
    <t>Blue bar · 'CEILING RELIEF' label · fill % = abs(ratio)</t>
  </si>
  <si>
    <t>Mirror States 1-3 voice (Ceiling tension family). User is reducing upside ask — give them structural observation about what that means for the Shape.</t>
  </si>
  <si>
    <t>E2</t>
  </si>
  <si>
    <t>_fRelief</t>
  </si>
  <si>
    <t>Floor dragged DOWN below baseline (delta &lt; 0)</t>
  </si>
  <si>
    <t>Blue bar · 'FLOOR RELIEF' label · fill % = abs(ratio)</t>
  </si>
  <si>
    <t>Mirror States 4-5 voice (Floor tension family). User is accepting thinner resilience — give them honest observation about what trade they're making.</t>
  </si>
  <si>
    <t>E3</t>
  </si>
  <si>
    <t>_dRelief</t>
  </si>
  <si>
    <t>Datum dragged DOWN below baseline (delta &lt; 0)</t>
  </si>
  <si>
    <t>Blue bar · 'DATUM RELIEF' label · fill % = abs(ratio)</t>
  </si>
  <si>
    <t>Mirror States 6-7 voice (Datum tension family). User is dialing back spending intent — give them observation about widening gap above Datum.</t>
  </si>
  <si>
    <t>DISPATCH SEQUENCING:</t>
  </si>
  <si>
    <t>1. Round 6 ships (TENSION COPY 8 strings + dirty-state header + COMBO fixes + ML_08 count fix) WITHOUT these 3 RELIEF strings</t>
  </si>
  <si>
    <t>2. Advisor authors these 3 strings (Section E) alongside RATIO COPY + CONSTRAINT COPY in one bundled request</t>
  </si>
  <si>
    <t>3. Round 7 dispatches ALL deferred copy in one commit: RATIO (3) + CONSTRAINT (13 unique, treating #14 as duplicate of #8) + RELIEF (3 here) + Block E suggestion content (if Captain+advisor authors it)</t>
  </si>
  <si>
    <t>DO-NOT-TOUCH for advisor:</t>
  </si>
  <si>
    <t>- Math/thresholds — purely copy work</t>
  </si>
  <si>
    <t>- The 8 TENSION states above (Section B) — those are already locked</t>
  </si>
  <si>
    <t>- 'TENSION' vs 'RELIEF' labels — advisor authors body copy only, not the label switch</t>
  </si>
  <si>
    <t>✅ APPROVE — ship advisor copy verbatim Round 7 (Block E OVEREXTENDED — lists 4 lever options, exact actionability Captain wanted)</t>
  </si>
  <si>
    <t>✅ APPROVE COPY — but ML_08 ALSO ships with Round 6 math-companion fix per Claude Q4/Q5 diagnostic (number-word lookup at L6193-6195 dynamically substitutes "Three"→"Four"→"Five" etc. based on _d2Lw.length). Copy + math fix bundled.</t>
  </si>
  <si>
    <t>✅ APPROVE — ship advisor copy verbatim Round 7 ("more owed than owned" is plain-English win)</t>
  </si>
  <si>
    <t>✅ APPROVE — ship advisor copy verbatim Round 7 (names 3 lever categories explicitly)</t>
  </si>
  <si>
    <t>✅ APPROVE — ship advisor copy verbatim Round 7</t>
  </si>
  <si>
    <t>✅ APPROVE — ship advisor copy verbatim Round 7 (matches RATIO Instance 3 — internally consistent)</t>
  </si>
  <si>
    <t>✅ APPROVE — ship advisor copy verbatim Round 7 ("shares the load" is great framing)</t>
  </si>
  <si>
    <t>✅ APPROVE — ship advisor copy verbatim Round 7. CONFIRM "years years" typo fix lands with this swap (existing source has duplicated word).</t>
  </si>
  <si>
    <t>✅ APPROVE — ship advisor copy verbatim Round 7 (matches RATIO Instance 2 — internally consistent)</t>
  </si>
  <si>
    <t>✅ APPROVE — ship advisor copy verbatim Round 7 (matches RATIO Instance 1 — internally consistent)</t>
  </si>
  <si>
    <t>🔄 DUPLICATE of #8 — DO NOT apply separately. Use Instance #8 wording as canonical swap for L7344-7345. Advisor cross-listed; we consolidate to single swap target.</t>
  </si>
  <si>
    <t>✅ APPROVE — ship advisor copy verbatim Round 7. (Matches CONSTRAINT #8 wording — internally consistent.)</t>
  </si>
  <si>
    <t>✅ NO SWAP — fixes itself via Round 5 schema-drift fix (already SHIPPED LIVE in commit 3f909f4). "past undefined" → "past {activationAge}" already resolved.</t>
  </si>
  <si>
    <t>Ceiling pulled back — your upside spending capacity has narrowed. The plan has less room to deliver above your spending line if markets perform well.</t>
  </si>
  <si>
    <t>Floor set lower — your resilience boundary is thinner now. More of the outcome range sits below this new minimum if markets underperform.</t>
  </si>
  <si>
    <t>Spending line lowered — you're planning below what this Shape can carry. The gap between your target spend and the Ceiling has widened.</t>
  </si>
  <si>
    <t>⚠️ SUPERSEDED by E-UP-1/E-UP-2 (rows 58-63) — see Block E v2 below</t>
  </si>
  <si>
    <t>⚠️ SUPERSEDED by E-DN-1/E-DN-2/E-DN-3 (rows 64-72) — see Block E v2 below</t>
  </si>
  <si>
    <t>BLOCK E v2 — ADVISOR-AUTHORED LEVER SUGGESTIONS (Round 8 scope)</t>
  </si>
  <si>
    <t>Scenario</t>
  </si>
  <si>
    <t>E-UP-2 OVEREXTENDED entry (PRIORITY)</t>
  </si>
  <si>
    <t>STATE OBSERVATION</t>
  </si>
  <si>
    <t>Your spending line has crossed above what this Shape can currently carry. The Datum now sits above the Ceiling — there is no margin left in the plan at this position.</t>
  </si>
  <si>
    <t>Voice: matches CONSTRAINT Instance 1</t>
  </si>
  <si>
    <t>E-UP-2</t>
  </si>
  <si>
    <t>LEVER SUGGESTION</t>
  </si>
  <si>
    <t>To make this spending level supportable, raising the Ceiling by adding {deltaPortfolio_fmt} to your starting balance is the most direct path — that single move would bring the Ceiling above the Datum and restore a workable margin.</t>
  </si>
  <si>
    <t>Math via Approach A: solveInverse with target Ceiling = newDatum × 1.10</t>
  </si>
  <si>
    <t>Reuse from row 55</t>
  </si>
  <si>
    <t>E-UP-1 STRETCHED entry</t>
  </si>
  <si>
    <t>Your Datum has moved into STRETCHED — spending is now sitting close to the Ceiling, with limited capacity above your target line.</t>
  </si>
  <si>
    <t>E-UP-1</t>
  </si>
  <si>
    <t>Adding {deltaPortfolio_fmt} to your starting balance would raise the Ceiling enough to restore a healthy gap above this Datum and ease the pressure on the plan.</t>
  </si>
  <si>
    <t>Math via Approach A: target Ceiling = newDatum × 1.10</t>
  </si>
  <si>
    <t>(reuse row 55 verbatim)</t>
  </si>
  <si>
    <t>E-DN-3 GROUNDED entry</t>
  </si>
  <si>
    <t>Your Datum has moved into GROUNDED — spending is now sitting near the Floor, with most of the plan's capacity sitting unused above your target line.</t>
  </si>
  <si>
    <t>E-DN-3</t>
  </si>
  <si>
    <t>With this much headroom between the Datum and Ceiling, the Floor could come down by approximately {deltaPortfolio_fmt} in starting balance without compressing your resilience band — freeing capital that is otherwise locked into maintaining a higher floor than this spending level needs.</t>
  </si>
  <si>
    <t>Math via Approach A: target Floor reduction; uses b1 sensitivity</t>
  </si>
  <si>
    <t>E-DN-2 ABUNDANT entry</t>
  </si>
  <si>
    <t>Your Datum has moved into ABUNDANT — spending is comfortably below the Ceiling, and your plan is carrying more capacity than this target requires.</t>
  </si>
  <si>
    <t>E-DN-2</t>
  </si>
  <si>
    <t>The gap above the Datum means the Ceiling could absorb a reduction of approximately {deltaPortfolio_fmt} in starting balance without touching your spending target — or that same headroom could support earlier retirement by roughly {deltaYears_fmt} years.</t>
  </si>
  <si>
    <t>DUAL LEVER: requires solveInverse + _d2BinarySearchY both</t>
  </si>
  <si>
    <t>E-DN-1 EXPANSIVE re-entry</t>
  </si>
  <si>
    <t>Your Datum has moved back into EXPANSIVE — spending is well-positioned within the Shape, with meaningful distance above the Floor and below the Ceiling.</t>
  </si>
  <si>
    <t>E-DN-1</t>
  </si>
  <si>
    <t>The headroom restored above the Datum means this plan could sustain a Ceiling reduction of approximately {deltaPortfolio_fmt} in starting balance, or it could carry an earlier retirement by roughly {deltaYears_fmt} years while preserving your spending target.</t>
  </si>
  <si>
    <t>MATH APPROACH — Captain Decision Locked 2026-05-23</t>
  </si>
  <si>
    <t>Rationale</t>
  </si>
  <si>
    <t>APPROACH A — Reuse solveInverse (Cramer solver from Block A/B/C)</t>
  </si>
  <si>
    <t>✅ LOCKED CANONICAL</t>
  </si>
  <si>
    <t>Product-first framing: user mental model symmetry (every handle = same lever math); advisor copy already designed for multi-lever optionality (E-DN-2/E-DN-1 OR clauses require _d2BinarySearchY); trust transfer from Round 5 fixtures (7/7 tested); Studio handoff coherence (same lever vocab).</t>
  </si>
  <si>
    <t>Block E synthesizes target Ceiling/Floor internally then calls existing solver</t>
  </si>
  <si>
    <t>Buffer multipliers (PENDING CAPTAIN LOCK)</t>
  </si>
  <si>
    <t>🟡 PENDING</t>
  </si>
  <si>
    <t>UPWARD drags (STRETCHED/OVEREXTENDED): target Ceiling = newDatum × 1.10 (10% margin)? DOWNWARD drags (ABUNDANT/GROUNDED): target Ceiling reduction = current Ceiling × 0.95 or proportional? Captain to decide before Round 8 dispatch.</t>
  </si>
  <si>
    <t>Product-tuning decision — not advisor scope</t>
  </si>
  <si>
    <t>APPROACH B — Author new sensitivity math in populateZoneC</t>
  </si>
  <si>
    <t>⚪ REJECTED</t>
  </si>
  <si>
    <t>Single-lever only (cannot deliver advisor's OR-clause optionality); breaks user mental model symmetry; introduces parallel math path; would require new copy edits.</t>
  </si>
  <si>
    <t>Considered and rejected 2026-05-23 11:15 AM ET</t>
  </si>
  <si>
    <t>N</t>
  </si>
  <si>
    <t>Direction Combo</t>
  </si>
  <si>
    <t>Archetype Label</t>
  </si>
  <si>
    <t>State Observation (copy)</t>
  </si>
  <si>
    <t>Lever Suggestion / Actionable (copy)</t>
  </si>
  <si>
    <t>Studio CTA Bridge</t>
  </si>
  <si>
    <t>Variables Needed</t>
  </si>
  <si>
    <t>↑↑  Both up</t>
  </si>
  <si>
    <t>Net-Positive</t>
  </si>
  <si>
    <t>count(↑)==2</t>
  </si>
  <si>
    <t>Two changes moved in the same direction — {lever1} and {lever2}. The Ceiling is now {ceilGap_fmt} above your spending line and the floor has lifted {floorDelta_fmt} from your pin.</t>
  </si>
  <si>
    <t>Test whether the target should rise to use what both moves made possible — or confirm the wider gap was the intended outcome.</t>
  </si>
  <si>
    <t>{lever1}…{leverN} labels ranked by |impact|; {primaryLever}; {ceilGap_fmt} = |newCeil − newDatum|; {floorDelta_fmt} = |newFloor − pinFloor|</t>
  </si>
  <si>
    <t>↓↓  Both down</t>
  </si>
  <si>
    <t>Net-Negative</t>
  </si>
  <si>
    <t>count(↓)==2</t>
  </si>
  <si>
    <t>Two changes pulled back simultaneously — {lever1} and {lever2}. The Ceiling has dropped {ceilGap_fmt} closer to your spending line and the floor has thinned by {floorDelta_fmt} from your pin.</t>
  </si>
  <si>
    <t>Name whether this is a deliberate reduction in ask, or whether one of these moves was unintentional — because both are now compressing the plan together.</t>
  </si>
  <si>
    <t>↑↓  One each</t>
  </si>
  <si>
    <t>Balanced Conflict</t>
  </si>
  <si>
    <t>count(↑)==1 AND count(↓)==1</t>
  </si>
  <si>
    <t>{lever1} built plan while {lever2} pulled it back. The net effect is modest — the Ceiling moved {ceilGap_fmt} from your pin and the floor shifted {floorDelta_fmt}.</t>
  </si>
  <si>
    <t>Test whether the building lever alone gets you where you need — or whether the pullback was intentional and the modest net outcome is the right read.</t>
  </si>
  <si>
    <t>↑↑↑  All up</t>
  </si>
  <si>
    <t>count(↑)==3</t>
  </si>
  <si>
    <t>Three changes landed in the same direction — {lever1}, {lever2}, and {lever3}. The Ceiling is now {ceilGap_fmt} above your spending line; the floor has moved {floorDelta_fmt} from your pin. {primaryLever} is doing most of the work.</t>
  </si>
  <si>
    <t>Test whether the target should rise to use what these three moves made possible — or confirm the wider gap was the intended outcome.</t>
  </si>
  <si>
    <t>↓↓↓  All down</t>
  </si>
  <si>
    <t>count(↓)==3</t>
  </si>
  <si>
    <t>Three changes reduced the plan together — {lever1}, {lever2}, and {lever3}. The Ceiling is now {ceilGap_fmt} closer to your spending line and the floor has thinned {floorDelta_fmt} from your pin. {primaryLever} is responsible for most of that compression.</t>
  </si>
  <si>
    <t>Confirm whether all three pullbacks were deliberate — if one wasn’t, it’s compressing capacity alongside the ones that were.</t>
  </si>
  <si>
    <t>↑↑↓  2 up / 1 down</t>
  </si>
  <si>
    <t>Dominant Positive</t>
  </si>
  <si>
    <t>count(↑)==2 AND count(↓)==1</t>
  </si>
  <si>
    <t>{lever1} and {lever2} built plan while {lever3} pulled in the other direction. The net result: the Ceiling is {ceilGap_fmt} above your spending line and the floor moved {floorDelta_fmt} from your pin — positive, but partially offset.</t>
  </si>
  <si>
    <t>Test whether removing the downward move would close the remaining gap cleanly, or whether the offset was an intentional trade.</t>
  </si>
  <si>
    <t>↑↓↓  1 up / 2 down</t>
  </si>
  <si>
    <t>Dominant Negative</t>
  </si>
  <si>
    <t>count(↑)==1 AND count(↓)==2</t>
  </si>
  <si>
    <t>{lever1} built plan, but {lever2} and {lever3} pulled it back harder. The Ceiling is now {ceilGap_fmt} closer to your spending line and the floor has thinned {floorDelta_fmt} from your pin.</t>
  </si>
  <si>
    <t>The two downward moves are outweighing the one building lever. Name whether both reductions were intentional — or bring this to Studio to see what the compression looks like against your real account structure.</t>
  </si>
  <si>
    <t>↑↑↑↑  All up</t>
  </si>
  <si>
    <t>count(↑)==4</t>
  </si>
  <si>
    <t>Four levers moved in the same direction — {lever1}, {lever2}, {lever3}, and {lever4}. The Ceiling is now {ceilGap_fmt} above your spending line; the floor lifted {floorDelta_fmt} from your pin. {primaryLever} is carrying the most weight, but all four are contributing.</t>
  </si>
  <si>
    <t>Consider whether the target should rise to meet what four simultaneous moves created — or take the full picture to Studio to test whether it holds under real sequence-of-returns pressure.</t>
  </si>
  <si>
    <t>↑↑↑↓  3 up / 1 down</t>
  </si>
  <si>
    <t>count(↑)==3 AND count(↓)==1</t>
  </si>
  <si>
    <t>Three levers built plan — {lever1}, {lever2}, and {lever3} — while {lever4} pulled back. The Ceiling is now {ceilGap_fmt} above your spending line and the floor moved {floorDelta_fmt} from your pin. {primaryLever} is the lead driver; {lever4} partially offset it.</t>
  </si>
  <si>
    <t>Test whether removing the downward move adds meaningfully to the outcome — or confirm the offset was intentional.</t>
  </si>
  <si>
    <t>↑↑↓↓  2 up / 2 down</t>
  </si>
  <si>
    <t>count(↑)==2 AND count(↓)==2</t>
  </si>
  <si>
    <t>Four levers moved in two directions — {lever1} and {lever2} built plan, {lever3} and {lever4} pulled it back. The net effect is muted: the Ceiling shifted {ceilGap_fmt} and the floor moved {floorDelta_fmt} from your pin. The building and reducing forces are closely matched.</t>
  </si>
  <si>
    <t>Isolate which building lever delivers the most plan per move, and which reducing lever costs the most — then decide which pair to keep.</t>
  </si>
  <si>
    <t>↑↓↓↓  1 up / 3 down</t>
  </si>
  <si>
    <t>count(↑)==1 AND count(↓)==3</t>
  </si>
  <si>
    <t>Three levers pulled the plan back — {lever2}, {lever3}, and {lever4} — while only {lever1} built capacity. The Ceiling has moved {ceilGap_fmt} closer to your spending line and the floor thinned {floorDelta_fmt} from your pin.</t>
  </si>
  <si>
    <t>Name whether three simultaneous reductions were all deliberate. If one wasn’t, it’s compressing the plan alongside the ones that were — and the single building lever isn’t enough to offset all three.</t>
  </si>
  <si>
    <t>↓↓↓↓  All down</t>
  </si>
  <si>
    <t>count(↓)==4</t>
  </si>
  <si>
    <t>All four levers reduced the plan simultaneously — {lever1}, {lever2}, {lever3}, and {lever4}. The Ceiling is now {ceilGap_fmt} closer to your spending line and the floor has compressed {floorDelta_fmt} from your pin. {primaryLever} is doing the most compression.</t>
  </si>
  <si>
    <t>Confirm all four reductions were intentional. If this is a deliberate low-ask scenario, the widening gap between floor and spending line may be where Studio can surface what the plan is actually able to carry.</t>
  </si>
  <si>
    <t>↑↑↑↑↑  All up</t>
  </si>
  <si>
    <t>count(↑)==5</t>
  </si>
  <si>
    <t>All five levers moved in the same direction — {lever1}, {lever2}, {lever3}, {lever4}, and {lever5}. The Ceiling is now {ceilGap_fmt} above your spending line; the floor lifted {floorDelta_fmt} from your pin. At this level of simultaneous movement, {primaryLever} is the lead driver but individual lever costs are folded into each other.</t>
  </si>
  <si>
    <t>This is the boundary of what the Sketch can attribute cleanly. Name the one or two changes you’d actually make, and bring the rest to Studio for a sequence-aware read.</t>
  </si>
  <si>
    <t>↑↑↑↑↓  4 up / 1 down</t>
  </si>
  <si>
    <t>count(↑)==4 AND count(↓)==1</t>
  </si>
  <si>
    <t>Four levers built plan — {lever1}, {lever2}, {lever3}, and {lever4} — while {lever5} pulled against them. The Ceiling is {ceilGap_fmt} above your spending line and the floor moved {floorDelta_fmt} from your pin. The single downward move is a minor offset against strong net-positive movement.</t>
  </si>
  <si>
    <t>Test whether removing the downward move adds meaningfully — or confirm it was a deliberate trade and the net outcome is the right read.</t>
  </si>
  <si>
    <t>↑↑↑↓↓  3 up / 2 down</t>
  </si>
  <si>
    <t>Moderate Positive</t>
  </si>
  <si>
    <t>count(↑)==3 AND count(↓)==2</t>
  </si>
  <si>
    <t>Three levers built plan — {lever1}, {lever2}, and {lever3} — while {lever4} and {lever5} partially offset them. The Ceiling is {ceilGap_fmt} above your spending line and the floor moved {floorDelta_fmt} from your pin. The building levers are winning, but not cleanly.</t>
  </si>
  <si>
    <t>Isolate whether both reducing moves were intentional. If one wasn’t, it’s costing capacity against three levers that are working in the right direction.</t>
  </si>
  <si>
    <t>↑↑↓↓↓  2 up / 3 down</t>
  </si>
  <si>
    <t>Moderate Negative</t>
  </si>
  <si>
    <t>count(↑)==2 AND count(↓)==3</t>
  </si>
  <si>
    <t>Two levers built plan — {lever1} and {lever2} — but three pulled harder in the other direction: {lever3}, {lever4}, and {lever5}. The Ceiling is now {ceilGap_fmt} closer to your spending line and the floor thinned {floorDelta_fmt} from your pin.</t>
  </si>
  <si>
    <t>The reducing levers are outweighing the building ones. Name whether all three pullbacks were intentional — or bring this to Studio to see what the compression looks like against your real accounts and income timing.</t>
  </si>
  <si>
    <t>↑↓↓↓↓  1 up / 4 down</t>
  </si>
  <si>
    <t>count(↑)==1 AND count(↓)==4</t>
  </si>
  <si>
    <t>Four levers pulled the plan back — {lever2}, {lever3}, {lever4}, and {lever5} — while only {lever1} added capacity. The Ceiling is now {ceilGap_fmt} closer to your spending line and the floor has compressed {floorDelta_fmt} from your pin. The single building lever is not enough to offset four simultaneous reductions.</t>
  </si>
  <si>
    <t>Confirm all four reductions were deliberate. If even one wasn’t, it’s compressing the plan alongside the others — and the Sketch can’t cleanly untangle the combined effect from here.</t>
  </si>
  <si>
    <t>↓↓↓↓↓  All down</t>
  </si>
  <si>
    <t>count(↓)==5</t>
  </si>
  <si>
    <t>All five levers reduced the plan at once — {lever1}, {lever2}, {lever3}, {lever4}, and {lever5}. The Ceiling has moved {ceilGap_fmt} closer to your spending line and the floor compressed {floorDelta_fmt} from your pin. This is the boundary of maximum simultaneous reduction in the Sketch.</t>
  </si>
  <si>
    <t>If this is deliberate — a low-ask scenario, a conservative anchor — the plan has capacity well above where the Datum sits. Studio can show what the full plan could sustain if the ask were allowed to rise.</t>
  </si>
  <si>
    <t>2026-05-23 ~2:45 PM ET | 🟢 SCREEN 2 — DATUM DRAG MATRIX CREATED — Full first-class Datum treatment per Captain doctrine · 33-cell two-layer architecture (22 L1 entry×direction openings + 11 L2 landing modifiers) · Captain rejected simplification: "We are Datum FI, Datum drag IS the product, generic copy betrays brand premise" · Awaiting advisor authoring · Round 10 dispatch pending</t>
  </si>
  <si>
    <t>🎯 SCREEN 2 — DATUM DRAG MATRIX — Full per-entry × per-direction × per-landing Datum interaction copy system</t>
  </si>
  <si>
    <t>CAPTAIN DOCTRINE LOCK: Datum drag = first-class product moment. No generic suppression. Per-entry-state per-direction copy. Voice match: advisor V2 voice per Round 8 Block E pattern. Floor/Ceiling/Shape/Datum + State names always capitalized as product concepts. Framing: Datum UP = "what if I spent more?"; Datum DOWN = "what if I spent less?" — every cell honors what user did FROM where they started TO where they landed.</t>
  </si>
  <si>
    <t>Source: sketch.html L2963-3113 (state classification). 11 entry sub-zones × 2 directions = 22 L1 openings. 11 landing sub-zones = 11 L2 modifiers. Drag caps: UP +100% from pin, DOWN -50% from pin (constrains reachable landings per entry). Round 8 Block E v2 E-UP-1/E-UP-2/E-DN-1/E-DN-2/E-DN-3 get superseded by this richer matrix.</t>
  </si>
  <si>
    <t>═══ SECTION 1: STATE GEOMETRY REFERENCE (canonical from sketch.html) ═══</t>
  </si>
  <si>
    <t>State Zone</t>
  </si>
  <si>
    <t>Datum Position</t>
  </si>
  <si>
    <t>Trigger Condition (from code)</t>
  </si>
  <si>
    <t>Vertical Order (top→bottom)</t>
  </si>
  <si>
    <t>OE STRUCTURAL</t>
  </si>
  <si>
    <t>Datum significantly above Ceiling</t>
  </si>
  <si>
    <t>overRatio &gt;= 0.15</t>
  </si>
  <si>
    <t>Datum / Ceiling / Floor</t>
  </si>
  <si>
    <t>OE ENTRY</t>
  </si>
  <si>
    <t>Datum just barely over Ceiling</t>
  </si>
  <si>
    <t>overRatio &lt; 0.15</t>
  </si>
  <si>
    <t>STR HIGH_END</t>
  </si>
  <si>
    <t>Datum nearly touching Ceiling from below</t>
  </si>
  <si>
    <t>stretchRatio &gt;= 0.93</t>
  </si>
  <si>
    <t>Ceiling / Datum-touching / Floor</t>
  </si>
  <si>
    <t>STR STANDARD</t>
  </si>
  <si>
    <t>Datum near Ceiling, not touching</t>
  </si>
  <si>
    <t>stretchRatio &lt; 0.93</t>
  </si>
  <si>
    <t>Ceiling / Datum-high / Floor</t>
  </si>
  <si>
    <t>EXP CEILING_SIDE</t>
  </si>
  <si>
    <t>Datum upper third of Floor-to-Ceiling range</t>
  </si>
  <si>
    <t>position &gt; 0.67</t>
  </si>
  <si>
    <t>Ceiling / Datum-upper / Floor</t>
  </si>
  <si>
    <t>EXP CENTERED</t>
  </si>
  <si>
    <t>Datum middle third</t>
  </si>
  <si>
    <t>0.33 &lt;= position &lt;= 0.67</t>
  </si>
  <si>
    <t>Ceiling / Datum-mid / Floor</t>
  </si>
  <si>
    <t>EXP FLOOR_SIDE</t>
  </si>
  <si>
    <t>Datum lower third</t>
  </si>
  <si>
    <t>position &lt; 0.33</t>
  </si>
  <si>
    <t>Ceiling / Datum-lower / Floor</t>
  </si>
  <si>
    <t>GND STABLE</t>
  </si>
  <si>
    <t>Datum near Floor, normal range</t>
  </si>
  <si>
    <t>groundRatio &gt;= 0.05</t>
  </si>
  <si>
    <t>Ceiling / Datum-low / Floor</t>
  </si>
  <si>
    <t>GND TIGHT</t>
  </si>
  <si>
    <t>Datum very near Floor (paradox case)</t>
  </si>
  <si>
    <t>groundRatio &lt; 0.05</t>
  </si>
  <si>
    <t>ABU JUST_BELOW</t>
  </si>
  <si>
    <t>Datum just under Floor</t>
  </si>
  <si>
    <t>abundantRatio &gt;= 0.75</t>
  </si>
  <si>
    <t>Ceiling / Floor / Datum-just-under</t>
  </si>
  <si>
    <t>ABU WELL_BELOW</t>
  </si>
  <si>
    <t>Datum significantly under Floor</t>
  </si>
  <si>
    <t>abundantRatio &lt; 0.75</t>
  </si>
  <si>
    <t>Ceiling / Floor / Datum-deep</t>
  </si>
  <si>
    <t>═══ SECTION 2: DRAG CAP CONSTRAINTS ═══</t>
  </si>
  <si>
    <t>Datum UP cap: +100% from pin (Datum can double from baseline)</t>
  </si>
  <si>
    <t>Datum DOWN cap: -50% from pin (Datum can halve from baseline)</t>
  </si>
  <si>
    <t>Implication: not every entry can reach every landing. ABU WELL_BELOW user dragging UP can reach STR STANDARD at most. OE STRUCTURAL user dragging DOWN can reach EXP CEILING_SIDE at most.</t>
  </si>
  <si>
    <t>═══ SECTION 3: LAYER 1 — ENTRY × DIRECTION OPENINGS (22 cells, advisor authors) ═══</t>
  </si>
  <si>
    <t>L1 cells acknowledge WHAT USER DID FROM WHERE THEY STARTED. Opens the lever suggestion copy. Voice: ambition-honoring for UP-drag ("what if I spent more?"), conservatism-honoring for DOWN-drag ("what if I spent less?").</t>
  </si>
  <si>
    <t>Cell ID</t>
  </si>
  <si>
    <t>Layer</t>
  </si>
  <si>
    <t>Entry Sub-Zone</t>
  </si>
  <si>
    <t>Reachable Landings (per cap)</t>
  </si>
  <si>
    <t>V2 Opening Narrative (advisor authors)</t>
  </si>
  <si>
    <t>V2 Lever Suggestion (advisor authors)</t>
  </si>
  <si>
    <t>Variables Available</t>
  </si>
  <si>
    <t>Studio CTA</t>
  </si>
  <si>
    <t>Advisor Status</t>
  </si>
  <si>
    <t>Captain Notes</t>
  </si>
  <si>
    <t>D-OE-STRUCT-UP</t>
  </si>
  <si>
    <t>L1-Opening</t>
  </si>
  <si>
    <t>UP</t>
  </si>
  <si>
    <t>entryZone = OE STRUCTURAL AND dd &gt; 0</t>
  </si>
  <si>
    <t>OE STRUCTURAL (stays, capped)</t>
  </si>
  <si>
    <t>The gap between where the Datum sits and what the plan supports is {ceilGap_fmt}. To close that gap, the most direct path is a structural change — more capital, higher contributions, a later start date, or some combination. Studio can show you the cost of closing it and which lever is most efficient given where your accounts actually stand.</t>
  </si>
  <si>
    <t>{newDatum_fmt}, {pinDatum_fmt}, {deltaDatum_fmt}, {ceilGap_fmt}, {floorGap_fmt}, {entryZone_fmt}, {landingZone_fmt}, {leverDeltaPort_fmt}, {leverDeltaYrs_fmt}</t>
  </si>
  <si>
    <t>"Studio can test whether your accounts and income structure can actually support spending at {newDatum_fmt} — and what sequencing makes it most tax-efficient."</t>
  </si>
  <si>
    <t>ADVISOR-AUTHORED</t>
  </si>
  <si>
    <t>User already past Ceiling significantly, dragging deeper — extreme stress test framing</t>
  </si>
  <si>
    <t>D-OE-ENT-UP</t>
  </si>
  <si>
    <t>entryZone = OE ENTRY AND dd &gt; 0</t>
  </si>
  <si>
    <t>You were barely over the Ceiling — and you dragged higher. The Datum is now {deltaDatum_fmt} above your starting point, pushing {ceilGap_fmt} past what the plan currently supports. You were already testing feasibility from the entry point; this move asks a harder version of that same question.</t>
  </si>
  <si>
    <t>The plan can't reach {newDatum_fmt} without a structural change. The gap to close is {ceilGap_fmt} — small enough that a targeted portfolio addition or a modest contribution increase might be sufficient. Studio can run the math on what each lever costs at your specific account structure.</t>
  </si>
  <si>
    <t>User barely past Ceiling, dragging deeper into OE territory</t>
  </si>
  <si>
    <t>D-STR-HIGH-UP</t>
  </si>
  <si>
    <t>entryZone = STR HIGH_END AND dd &gt; 0</t>
  </si>
  <si>
    <t>OE ENTRY → OE STRUCTURAL</t>
  </si>
  <si>
    <t>You were nearly touching the Ceiling — and you crossed it. The Datum moved {deltaDatum_fmt} from your start, lifting from the edge of what the plan supports into territory it currently can't reach. That crossing is a clean signal: you're not stress-testing a margin, you're asking whether the plan's capacity can grow.</t>
  </si>
  <si>
    <t>The Ceiling marks what the plan's current structure can sustain. The Datum is now {ceilGap_fmt} above it. Closing that gap means adding capital, raising contributions, or extending the runway — whichever your accounts can absorb. Studio can show the most efficient path given where you're starting from.</t>
  </si>
  <si>
    <t>User near Ceiling, dragging through — Round 8 E-UP-1 partially covers; may refresh</t>
  </si>
  <si>
    <t>D-STR-STD-UP</t>
  </si>
  <si>
    <t>entryZone = STR STANDARD AND dd &gt; 0</t>
  </si>
  <si>
    <t>STR HIGH_END → OE ENTRY → OE STRUCTURAL</t>
  </si>
  <si>
    <t>You were in Stretched — spending near the Ceiling but not yet at it — and you dragged higher. The Datum moved {deltaDatum_fmt} from your start, pushing toward or past the plan's upper limit. You were already in the range where the plan needs to work hard; this move asks whether it can work harder.</t>
  </si>
  <si>
    <t>At {newDatum_fmt}, the Datum is {ceilGap_fmt} from the Ceiling. If you've crossed it, the plan can't reach this level without a structural change. If you're still below it, you're testing how thin that margin actually is — Studio can show what happens to that buffer under stress.</t>
  </si>
  <si>
    <t>User in Stretched, pushing toward/past Ceiling</t>
  </si>
  <si>
    <t>D-EXP-CEIL-UP</t>
  </si>
  <si>
    <t>entryZone = EXP CEILING_SIDE AND dd &gt; 0</t>
  </si>
  <si>
    <t>STR STANDARD → STR HIGH_END → OE ENTRY → OE STRUCTURAL</t>
  </si>
  <si>
    <t>You were in the upper range of Expansive — the plan supporting spending comfortably above the middle — and you dragged higher. The Datum moved {deltaDatum_fmt} from your start, lifting into Stretched territory or beyond. You're testing whether ambition is available at this spending level, not just whether the plan survives it.</t>
  </si>
  <si>
    <t>The Datum now sits {ceilGap_fmt} from the Ceiling. At this level, the plan is working near its upper boundary — your sequence-of-returns exposure matters more than it did at your starting point. Studio can show what this spending level looks like under a range of market scenarios, not just the base case.</t>
  </si>
  <si>
    <t>User upper Expansive, dragging into Stretched territory</t>
  </si>
  <si>
    <t>D-EXP-CTR-UP</t>
  </si>
  <si>
    <t>entryZone = EXP CENTERED AND dd &gt; 0</t>
  </si>
  <si>
    <t>EXP CEILING_SIDE → STR STANDARD → STR HIGH_END → OE ENTRY → OE STRUCTURAL</t>
  </si>
  <si>
    <t>You were in the middle of Expansive — spending balanced, plan running with room above and below — and you moved it up. The Datum shifted {deltaDatum_fmt} from your start, exploring how much of the plan's upper capacity you can reach. This is the clearest version of the "what if I spent more?" question.</t>
  </si>
  <si>
    <t>The Datum is now {ceilGap_fmt} from the Ceiling. You have room to keep testing — but how much room depends on what you're actually carrying in your accounts. Studio can show you the real ceiling given your portfolio, contributions, and income timing.</t>
  </si>
  <si>
    <t>User middle Expansive, ambition-raising — wide landing range</t>
  </si>
  <si>
    <t>D-EXP-FLR-UP</t>
  </si>
  <si>
    <t>entryZone = EXP FLOOR_SIDE AND dd &gt; 0</t>
  </si>
  <si>
    <t>EXP CENTERED → EXP CEILING_SIDE → STR STANDARD → STR HIGH_END → OE ENTRY → OE STRUCTURAL</t>
  </si>
  <si>
    <t>You were in the lower range of Expansive — spending modest relative to what the plan supports — and you raised it. The Datum moved {deltaDatum_fmt} from your start, climbing toward the middle of the plan's range. You're not testing the limits yet. You're exploring how much of the capacity the plan already has is available to you.</t>
  </si>
  <si>
    <t>The Datum is now {ceilGap_fmt} below the Ceiling and {floorGap_fmt} above the Floor. You still have meaningful runway above your current position. Studio can show what your accounts could sustain at higher spending levels — and whether your current portfolio and contribution trajectory is consistent with reaching them.</t>
  </si>
  <si>
    <t>User lower Expansive, raising spending — significant ambition room</t>
  </si>
  <si>
    <t>D-GND-STBL-UP</t>
  </si>
  <si>
    <t>entryZone = GND STABLE AND dd &gt; 0</t>
  </si>
  <si>
    <t>EXP FLOOR_SIDE → EXP CENTERED → EXP CEILING_SIDE → STR STANDARD → STR HIGH_END → OE ENTRY</t>
  </si>
  <si>
    <t>You were near the Floor — spending close to the plan's minimum supportable level — and you raised it. The Datum moved {deltaDatum_fmt} from your start, lifting into Expansive territory. This is a plan discovering capacity: you weren't spending what the plan could carry, and now you're testing how far into that range you want to go.</t>
  </si>
  <si>
    <t>The Datum has moved above the Floor and now sits {ceilGap_fmt} from the Ceiling. You have substantial room between where you are and the plan's upper limit. Studio can show what your real account structure supports at various points across that range — so you're not guessing at what's available.</t>
  </si>
  <si>
    <t>User near Floor, raising into Expansive territory — discovering capacity</t>
  </si>
  <si>
    <t>D-GND-TGHT-UP</t>
  </si>
  <si>
    <t>entryZone = GND TIGHT AND dd &gt; 0</t>
  </si>
  <si>
    <t>GND STABLE → EXP FLOOR_SIDE → EXP CENTERED → EXP CEILING_SIDE → STR STANDARD → STR HIGH_END</t>
  </si>
  <si>
    <t>You were in the paradox zone — spending so close to the Floor that the plan's minimum and your ask were nearly the same thing — and you raised it. The Datum moved {deltaDatum_fmt} from your start, pulling out of the tight band and into supported territory. This move is the answer to what the plan was waiting for: an ask it can actually distinguish from its own floor.</t>
  </si>
  <si>
    <t>The Datum is now {floorGap_fmt} above the Floor and {ceilGap_fmt} from the Ceiling. You've moved out of the zone where the margin was essentially zero. The plan has meaningful capacity above where you're sitting — Studio can show you how much and what it would take to use it.</t>
  </si>
  <si>
    <t>User in paradox zone, raising out — discovering plan can carry more</t>
  </si>
  <si>
    <t>D-ABU-JB-UP</t>
  </si>
  <si>
    <t>entryZone = ABU JUST_BELOW AND dd &gt; 0</t>
  </si>
  <si>
    <t>GND TIGHT → GND STABLE → EXP FLOOR_SIDE → EXP CENTERED → EXP CEILING_SIDE → STR STANDARD</t>
  </si>
  <si>
    <t>You were just below the Floor — the plan supporting more than you were asking for — and you raised the Datum. The Datum moved {deltaDatum_fmt} from your start, climbing toward or into the zone the plan was already designed to carry. You're not straining the plan. You're asking it to do what it was built to do.</t>
  </si>
  <si>
    <t>The Datum is now {floorGap_fmt} from the Floor and {ceilGap_fmt} from the Ceiling. If you're still below the Floor, the plan's minimum capacity still exceeds your ask — you have room to keep raising. Studio can show what the full supported range looks like given your actual accounts.</t>
  </si>
  <si>
    <t>User just below Floor, raising into supported zone — using available capacity</t>
  </si>
  <si>
    <t>D-ABU-WB-UP</t>
  </si>
  <si>
    <t>entryZone = ABU WELL_BELOW AND dd &gt; 0</t>
  </si>
  <si>
    <t>ABU JUST_BELOW → GND TIGHT → GND STABLE → EXP FLOOR_SIDE → EXP CENTERED → EXP CEILING_SIDE → STR STANDARD</t>
  </si>
  <si>
    <t>You were well below the Floor — spending significantly less than the plan's minimum supportable level — and you raised the Datum substantially. The Datum moved {deltaDatum_fmt} from your start, testing how far up into the plan's range you can reach. The plan has more capacity than your starting Datum suggested. This drag is the first real stress on that capacity.</t>
  </si>
  <si>
    <t>Even at {newDatum_fmt}, the plan may still have room above where the Datum sits. The question is whether you've crossed the Floor yet — and if so, whether you're still within comfortable range or approaching the Ceiling. Studio can show your exact position in the plan's supported range and what it would take to go further.</t>
  </si>
  <si>
    <t>User well below Floor, raising significantly — exploring full capacity</t>
  </si>
  <si>
    <t>D-OE-STRUCT-DN</t>
  </si>
  <si>
    <t>DOWN</t>
  </si>
  <si>
    <t>entryZone = OE STRUCTURAL AND dd &lt; 0</t>
  </si>
  <si>
    <t>OE ENTRY → STR HIGH_END → STR STANDARD → EXP CEILING_SIDE</t>
  </si>
  <si>
    <t>The Datum is now {ceilGap_fmt} from the Ceiling. If you're still above it, a further reduction — or a structural change to the plan — is needed to get to feasibility. If you've crossed below it, you're back in a range the plan can carry. Studio can show exactly where the threshold sits and what it takes to stay below it.</t>
  </si>
  <si>
    <t>User far past Ceiling, pulling spending back — finding feasibility</t>
  </si>
  <si>
    <t>D-OE-ENT-DN</t>
  </si>
  <si>
    <t>entryZone = OE ENTRY AND dd &lt; 0</t>
  </si>
  <si>
    <t>STR HIGH_END → STR STANDARD → EXP CEILING_SIDE → EXP CENTERED</t>
  </si>
  <si>
    <t>You were just barely over the Ceiling — spending slightly above what the plan currently supports — and you eased back. The Datum moved {deltaDatum_fmt} from your start, dropping toward a range the plan can actually reach. A small reduction from just over the Ceiling is often all it takes to move from broken to workable.</t>
  </si>
  <si>
    <t>The Datum is now {ceilGap_fmt} from the Ceiling. If you've crossed below it, you're back inside a range the plan supports. Studio can show you what the plan's actual capacity looks like at this spending level — including how much buffer you now have before you'd approach the limit again.</t>
  </si>
  <si>
    <t>User barely past Ceiling, pulling back to viable range</t>
  </si>
  <si>
    <t>D-STR-HIGH-DN</t>
  </si>
  <si>
    <t>entryZone = STR HIGH_END AND dd &lt; 0</t>
  </si>
  <si>
    <t>STR STANDARD → EXP CEILING_SIDE → EXP CENTERED → EXP FLOOR_SIDE</t>
  </si>
  <si>
    <t>You were nearly touching the Ceiling from below — spending at the edge of what the plan supports without crossing it — and you eased back. The Datum moved {deltaDatum_fmt} from your start, creating breathing room between your spending and the plan's upper limit. This is a margin move: you're testing how much distance from the Ceiling changes the plan's resilience.</t>
  </si>
  <si>
    <t>The Datum is now {ceilGap_fmt} from the Ceiling. That gap is the plan's buffer — the room it has to absorb a bad sequence of returns before your spending becomes unsustainable. Studio can show what that buffer is worth under real stress scenarios, not just the base-case projection.</t>
  </si>
  <si>
    <t>User touching Ceiling, easing back — opening breathing room</t>
  </si>
  <si>
    <t>D-STR-STD-DN</t>
  </si>
  <si>
    <t>entryZone = STR STANDARD AND dd &lt; 0</t>
  </si>
  <si>
    <t>EXP CEILING_SIDE → EXP CENTERED → EXP FLOOR_SIDE → GND STABLE</t>
  </si>
  <si>
    <t>You were in Stretched — spending near the Ceiling with limited margin — and you lowered the Datum. The Datum moved {deltaDatum_fmt} from your start, moving from a tight range into more comfortable territory. Lower spending in a Stretched plan doesn't just reduce the ask — it rebuilds the plan's ability to handle volatility.</t>
  </si>
  <si>
    <t>The Datum is now {ceilGap_fmt} from the Ceiling and {floorGap_fmt} above the Floor. The middle of Expansive is where the plan runs most freely — you're testing whether this spending level fits there. Studio can show how this Datum holds up under different sequence-of-returns scenarios at your specific account structure.</t>
  </si>
  <si>
    <t>User in Stretched, lowering toward comfort zone</t>
  </si>
  <si>
    <t>D-EXP-CEIL-DN</t>
  </si>
  <si>
    <t>entryZone = EXP CEILING_SIDE AND dd &lt; 0</t>
  </si>
  <si>
    <t>EXP CENTERED → EXP FLOOR_SIDE → GND STABLE → GND TIGHT</t>
  </si>
  <si>
    <t>You were in the upper range of Expansive — spending comfortably but toward the higher end of the plan's supported range — and you lowered it. The Datum moved {deltaDatum_fmt} from your start, shifting toward the middle of what the plan can carry. This is a deliberate move toward the plan's center of gravity.</t>
  </si>
  <si>
    <t>The Datum is now {ceilGap_fmt} from the Ceiling and {floorGap_fmt} above the Floor. Moving down from the upper range increases the plan's resilience without reducing the ask dramatically. Studio can quantify how much additional buffer this Datum position creates under stress.</t>
  </si>
  <si>
    <t>User upper Expansive, lowering toward middle — opening upper headroom</t>
  </si>
  <si>
    <t>D-EXP-CTR-DN</t>
  </si>
  <si>
    <t>entryZone = EXP CENTERED AND dd &lt; 0</t>
  </si>
  <si>
    <t>EXP FLOOR_SIDE → GND STABLE → GND TIGHT → ABU JUST_BELOW</t>
  </si>
  <si>
    <t>You were in the middle of Expansive — spending balanced, plan running freely — and you lowered the Datum. The Datum moved {deltaDatum_fmt} from your start, dropping toward the lower range of what the plan supports. You're testing what a more conservative ask looks like from a comfortable starting point.</t>
  </si>
  <si>
    <t>The Datum is now {ceilGap_fmt} from the Ceiling and {floorGap_fmt} above the Floor. At this level, you're asking the plan to carry less than it comfortably can. Studio can show what the gap between this Datum and the plan's full capacity could fund — earlier retirement, a larger legacy, or a stronger stress buffer.</t>
  </si>
  <si>
    <t>User middle Expansive, lowering — testing modest reduction</t>
  </si>
  <si>
    <t>D-EXP-FLR-DN</t>
  </si>
  <si>
    <t>entryZone = EXP FLOOR_SIDE AND dd &lt; 0</t>
  </si>
  <si>
    <t>GND STABLE → GND TIGHT → ABU JUST_BELOW → ABU WELL_BELOW</t>
  </si>
  <si>
    <t>You were in the lower range of Expansive — spending modestly but within the plan's supported zone — and you lowered further. The Datum moved {deltaDatum_fmt} from your start, dropping toward Grounded territory. You're asking what happens at the conservative end of what the plan can carry.</t>
  </si>
  <si>
    <t>The Datum is now {floorGap_fmt} above the Floor. You're testing the approach to the plan's minimum — the level at which the Floor and the Datum converge. Studio can show what the surplus between this Datum and the plan's full capacity could be used for, and whether the conservative ask is the right long-term choice.</t>
  </si>
  <si>
    <t>User lower Expansive, lowering toward Grounded — building Floor buffer</t>
  </si>
  <si>
    <t>D-GND-STBL-DN</t>
  </si>
  <si>
    <t>entryZone = GND STABLE AND dd &lt; 0</t>
  </si>
  <si>
    <t>GND TIGHT → ABU JUST_BELOW → ABU WELL_BELOW</t>
  </si>
  <si>
    <t>You were near the Floor — spending close to the plan's minimum supportable level — and you lowered further. The Datum moved {deltaDatum_fmt} from your start, approaching or crossing below the Floor. When the ask drops below what the plan needs to run, the plan doesn't fail — it builds surplus. The question is whether that surplus is intentional.</t>
  </si>
  <si>
    <t>The Datum is now {floorGap_fmt} from the Floor. If you've crossed below it, you're in Abundant territory — the plan's minimum capacity now exceeds your ask. Studio can show what that margin represents: how much earlier you could retire, how much larger a legacy the plan supports, or how much stress resilience you're building.</t>
  </si>
  <si>
    <t>User near Floor, lowering toward/past it — entering Abundant territory</t>
  </si>
  <si>
    <t>D-GND-TGHT-DN</t>
  </si>
  <si>
    <t>entryZone = GND TIGHT AND dd &lt; 0</t>
  </si>
  <si>
    <t>ABU JUST_BELOW → ABU WELL_BELOW</t>
  </si>
  <si>
    <t>You were in the paradox zone — spending so close to the Floor that the plan's minimum and your ask were nearly identical — and you lowered the Datum below it. The Datum moved {deltaDatum_fmt} from your start, crossing from the tightest possible margin into Abundant territory. This is a strong conservative signal: you're asking for less than the plan's minimum output.</t>
  </si>
  <si>
    <t>The Datum is now {floorGap_fmt} below the Floor. The plan was already designed to carry more than you're asking for. Studio can show what that surplus could fund — and help you decide whether this level of conservatism is a deliberate choice or a starting point worth revisiting.</t>
  </si>
  <si>
    <t>User in paradox zone, dropping into Abundant — strong conservative signal</t>
  </si>
  <si>
    <t>D-ABU-JB-DN</t>
  </si>
  <si>
    <t>entryZone = ABU JUST_BELOW AND dd &lt; 0</t>
  </si>
  <si>
    <t>ABU WELL_BELOW (deeper)</t>
  </si>
  <si>
    <t>You were just below the Floor — the plan already supporting more than your ask — and you lowered the Datum further. The Datum moved {deltaDatum_fmt} from your start, pushing deeper into Abundant territory. You're asking less than the plan's minimum. This move makes that gap wider.</t>
  </si>
  <si>
    <t>The Datum is now {floorGap_fmt} below the Floor. The plan has meaningful unused capacity above this spending level. Studio can show what the gap between {newDatum_fmt} and the plan's full capacity actually represents — in years, in legacy, or in resilience.</t>
  </si>
  <si>
    <t>User just below Floor, going deeper — extreme conservatism inquiry</t>
  </si>
  <si>
    <t>D-ABU-WB-DN</t>
  </si>
  <si>
    <t>entryZone = ABU WELL_BELOW AND dd &lt; 0</t>
  </si>
  <si>
    <t>ABU WELL_BELOW (capped at -50%)</t>
  </si>
  <si>
    <t>You were already well below the Floor — spending significantly less than the plan's minimum supportable level — and you lowered further. The Datum moved {deltaDatum_fmt} from your start, approaching the drag floor at half your original pin. This is the most conservative ask the Sketch can model. You're testing what the plan looks like when the spending question is set aside almost entirely.</t>
  </si>
  <si>
    <t>The Datum is now {floorGap_fmt} below the Floor. The plan has substantial unused capacity above this level. Studio can show what that full capacity represents — and whether the conservative anchor is a deliberate structural choice or a number worth reconsidering.</t>
  </si>
  <si>
    <t>User well below Floor, capped — minimum ask exploration</t>
  </si>
  <si>
    <t>═══ SECTION 4: LAYER 2 — LANDING MODIFIERS (11 cells, advisor authors) ═══</t>
  </si>
  <si>
    <t>L2 cells acknowledge WHERE THE DATUM ENDED UP and what that means. Same modifier appended regardless of entry path. Closes the lever suggestion copy. Variables: {newDatum_fmt}, {ceilGap_fmt}, {floorGap_fmt}, {landingZone_fmt}.</t>
  </si>
  <si>
    <t>Landing Sub-Zone</t>
  </si>
  <si>
    <t>Severity</t>
  </si>
  <si>
    <t>V2 Landing Modifier (advisor authors)</t>
  </si>
  <si>
    <t>Studio Bridge Tone</t>
  </si>
  <si>
    <t>L-OE-STRUCT</t>
  </si>
  <si>
    <t>L2-Landing</t>
  </si>
  <si>
    <t>Significantly above Ceiling</t>
  </si>
  <si>
    <t>newDatum &gt; newCeil AND overRatio &gt;= 0.15</t>
  </si>
  <si>
    <t>CRITICAL — math broken</t>
  </si>
  <si>
    <t>Urgent intervention</t>
  </si>
  <si>
    <t>{newDatum_fmt}, {ceilGap_fmt}, {floorGap_fmt}, {landingZone_fmt}</t>
  </si>
  <si>
    <t>Round 8 State 8 OVEREXTENDED tension copy already covers tension HUD; this is Block E lever path</t>
  </si>
  <si>
    <t>L-OE-ENT</t>
  </si>
  <si>
    <t>Just barely above Ceiling</t>
  </si>
  <si>
    <t>newDatum &gt; newCeil AND overRatio &lt; 0.15</t>
  </si>
  <si>
    <t>HIGH — feasibility threatened</t>
  </si>
  <si>
    <t>The Datum sits just above the Ceiling — {ceilGap_fmt} past the plan's current limit. The gap is small enough that a targeted change could close it. Studio can show the cost of closing it at your account structure — and whether it's a lever move or a plan revision.</t>
  </si>
  <si>
    <t>Path back to feasibility</t>
  </si>
  <si>
    <t>Less severe than STRUCTURAL — small lever moves can fix</t>
  </si>
  <si>
    <t>L-STR-HIGH</t>
  </si>
  <si>
    <t>Datum touching Ceiling from below</t>
  </si>
  <si>
    <t>ELEVATED — thin margin</t>
  </si>
  <si>
    <t>The Datum has landed nearly at the Ceiling — {ceilGap_fmt} of margin remaining. The plan can carry {newDatum_fmt}, but with very little room to absorb a bad sequence of returns. Studio can show what that thin margin looks like under stress and whether it's a deliberate trade or a risk worth managing differently.</t>
  </si>
  <si>
    <t>Margin awareness</t>
  </si>
  <si>
    <t>Within plan but nearly touching ceiling</t>
  </si>
  <si>
    <t>L-STR-STD</t>
  </si>
  <si>
    <t>Datum in Stretched zone, near Ceiling</t>
  </si>
  <si>
    <t>MODERATE — workable but tight</t>
  </si>
  <si>
    <t>The Datum has landed in the Stretched zone — supported by the plan, but with limited buffer between spending and the Ceiling. There's {ceilGap_fmt} to the upper limit. The plan works here, but sequence-of-returns risk matters more than it does in the middle of the range. Studio can show how this spending level holds up under a range of market scenarios at your specific account structure.</t>
  </si>
  <si>
    <t>Sequence-of-returns frame</t>
  </si>
  <si>
    <t>Plan supports but with limited buffer</t>
  </si>
  <si>
    <t>L-EXP-CEIL</t>
  </si>
  <si>
    <t>Datum upper third of Expansive</t>
  </si>
  <si>
    <t>COMFORTABLE — upper range</t>
  </si>
  <si>
    <t>The Datum has landed in the upper range of Expansive — {ceilGap_fmt} from the Ceiling, {floorGap_fmt} above the Floor. The plan supports this spending level with room to run. Studio can show how that upper-range position performs across different sequences of returns — and whether there's more capacity available.</t>
  </si>
  <si>
    <t>Capacity utilization</t>
  </si>
  <si>
    <t>Higher ambition within safe zone</t>
  </si>
  <si>
    <t>L-EXP-CTR</t>
  </si>
  <si>
    <t>Datum middle of Expansive</t>
  </si>
  <si>
    <t>OPTIMAL — balanced</t>
  </si>
  <si>
    <t>The Datum has landed in the middle of Expansive — {ceilGap_fmt} from the Ceiling, {floorGap_fmt} above the Floor. This is where the plan runs most freely: enough distance from both limits to handle normal volatility without structural pressure. Studio can confirm this is the right range for your accounts and income timing.</t>
  </si>
  <si>
    <t>Plan equilibrium</t>
  </si>
  <si>
    <t>Most balanced Datum position</t>
  </si>
  <si>
    <t>L-EXP-FLR</t>
  </si>
  <si>
    <t>Datum lower third of Expansive</t>
  </si>
  <si>
    <t>COMFORTABLE — lower range</t>
  </si>
  <si>
    <t>The Datum has landed in the lower range of Expansive — {ceilGap_fmt} from the Ceiling, {floorGap_fmt} above the Floor. The plan supports this level comfortably. You're asking less than you could, which means there's room above if circumstances change. Studio can show what the gap between {newDatum_fmt} and the plan's upper capacity represents.</t>
  </si>
  <si>
    <t>Conservative within Expansive</t>
  </si>
  <si>
    <t>Modest ask within safe zone</t>
  </si>
  <si>
    <t>L-GND-STBL</t>
  </si>
  <si>
    <t>Datum near Floor, stable</t>
  </si>
  <si>
    <t>CAUTIOUS — Floor proximity</t>
  </si>
  <si>
    <t>The Datum has landed near the Floor — {floorGap_fmt} above the plan's minimum. The plan supports this spending level, but the margin to the lower boundary is thin. Studio can show how close this Datum is to the Floor in real terms, and what happens if portfolio returns come in below the base case.</t>
  </si>
  <si>
    <t>Floor awareness</t>
  </si>
  <si>
    <t>Within plan but close to lower bound</t>
  </si>
  <si>
    <t>L-GND-TGHT</t>
  </si>
  <si>
    <t>Datum touching Floor (paradox)</t>
  </si>
  <si>
    <t>PARADOX — Datum=Floor</t>
  </si>
  <si>
    <t>The Datum has landed in the paradox zone — {floorGap_fmt} from the Floor, nearly identical to the plan's minimum. The plan supports this level, but barely. There's almost no margin between what you're asking and the absolute lower bound. Studio can show what a small change in either direction does to that margin — and whether staying this close to the Floor is intentional.</t>
  </si>
  <si>
    <t>Paradox awareness</t>
  </si>
  <si>
    <t>Special paradox zone — Datum essentially equals Floor</t>
  </si>
  <si>
    <t>L-ABU-JB</t>
  </si>
  <si>
    <t>Datum just below Floor</t>
  </si>
  <si>
    <t>newDatum &lt; newFloor AND abundantRatio &gt;= 0.75</t>
  </si>
  <si>
    <t>ABUNDANT — modest surplus</t>
  </si>
  <si>
    <t>The Datum now sits just below the Floor — the plan's minimum capacity exceeds what you're asking for by {floorGap_fmt}. The plan has surplus above this spending level. Studio can show what that margin could fund: an earlier retirement date, a larger legacy target, or a stronger stress buffer against poor market sequences.</t>
  </si>
  <si>
    <t>Surplus signal</t>
  </si>
  <si>
    <t>Plan exceeds ask modestly</t>
  </si>
  <si>
    <t>L-ABU-WB</t>
  </si>
  <si>
    <t>Datum significantly below Floor</t>
  </si>
  <si>
    <t>newDatum &lt; newFloor AND abundantRatio &lt; 0.75</t>
  </si>
  <si>
    <t>ABUNDANT — large surplus</t>
  </si>
  <si>
    <t>The Datum now sits well below the Floor — the plan's minimum capacity exceeds your ask by {floorGap_fmt}. There's substantial unused capacity in the plan above this spending level. Studio can show what that surplus represents in concrete terms — years, legacy, or resilience — and help you decide whether this level of conservatism is a choice or a starting point.</t>
  </si>
  <si>
    <t>Large surplus signal</t>
  </si>
  <si>
    <t>Plan greatly exceeds ask — meaningful unused capacity</t>
  </si>
  <si>
    <t>═══ SECTION 5: VARIABLE REFERENCE ═══</t>
  </si>
  <si>
    <t>{newDatum_fmt}</t>
  </si>
  <si>
    <t>currentScenario.datumSpend after drag</t>
  </si>
  <si>
    <t>$135k/yr</t>
  </si>
  <si>
    <t>Current Datum position post-drag</t>
  </si>
  <si>
    <t>{pinDatum_fmt}</t>
  </si>
  <si>
    <t>pinned Datum from Discover snapshot</t>
  </si>
  <si>
    <t>$100k/yr</t>
  </si>
  <si>
    <t>Original pinned Datum at Screen 2 entry</t>
  </si>
  <si>
    <t>{deltaDatum_fmt}</t>
  </si>
  <si>
    <t>newDatum - pinDatum (signed)</t>
  </si>
  <si>
    <t>+$35k/yr or -$22k/yr</t>
  </si>
  <si>
    <t>Signed delta from pin</t>
  </si>
  <si>
    <t>{ceilGap_fmt}</t>
  </si>
  <si>
    <t>Math.abs(newCeil - newDatum)</t>
  </si>
  <si>
    <t>$87k</t>
  </si>
  <si>
    <t>Distance from Datum to Ceiling (absolute)</t>
  </si>
  <si>
    <t>{floorGap_fmt}</t>
  </si>
  <si>
    <t>Math.abs(newFloor - newDatum)</t>
  </si>
  <si>
    <t>$94k</t>
  </si>
  <si>
    <t>Distance from Datum to Floor (absolute)</t>
  </si>
  <si>
    <t>{entryZone_fmt}</t>
  </si>
  <si>
    <t>sub-zone name at Screen 2 entry</t>
  </si>
  <si>
    <t>Expansive Centered</t>
  </si>
  <si>
    <t>Sub-zone where user pinned</t>
  </si>
  <si>
    <t>{landingZone_fmt}</t>
  </si>
  <si>
    <t>sub-zone name after drag</t>
  </si>
  <si>
    <t>Stretched Standard</t>
  </si>
  <si>
    <t>Sub-zone where Datum landed</t>
  </si>
  <si>
    <t>{leverDeltaPort_fmt}</t>
  </si>
  <si>
    <t>solveInverse portfolio delta</t>
  </si>
  <si>
    <t>$182k</t>
  </si>
  <si>
    <t>Required portfolio change to restore baseline</t>
  </si>
  <si>
    <t>{leverDeltaYrs_fmt}</t>
  </si>
  <si>
    <t>_d2BinarySearchY retirement delta</t>
  </si>
  <si>
    <t>Required retirement change to restore baseline</t>
  </si>
  <si>
    <t>═══ SECTION 6: ROUTING LOGIC (for Claude Round 10 implementation) ═══</t>
  </si>
  <si>
    <t>At Block E render time: (1) capture entryZone from pinned state, (2) compute dd = newDatum - pinDatum, (3) detect landingZone from post-drag state, (4) lookup L1 cell by entryZone + sign(dd), (5) lookup L2 cell by landingZone, (6) render: L1.opening + L1.lever_suggestion + L2.modifier + Studio CTA. Round 8 Block E v2 (E-UP-1/E-UP-2/E-DN-1/E-DN-2/E-DN-3) gets SUPERSEDED by this matrix. Estimated implementation scope: ~30-50 lines new code + 33 advisor strings.</t>
  </si>
  <si>
    <t>═══ SECTION 7: VOICE ANCHORS (for advisor reference) ═══</t>
  </si>
  <si>
    <t>Match Round 7 RELIEF + RATIO + CONSTRAINT voice. Match Round 8 Block E v2 voice (E-UP-1 / E-UP-2 / E-DN-1 / E-DN-2 / E-DN-3 existing as reference). Capitalization doctrine (Captain locked): Floor, Ceiling, Shape, Datum always capitalized as product concepts. State names (Expansive, Stretched, Overextended, Grounded, Abundant) also capitalized.</t>
  </si>
  <si>
    <t>📋 SCREEN 2 — DATUM LANDING-AWARE L1 (Future Enhancement Scaffold)</t>
  </si>
  <si>
    <t>🔒 CAPTAIN DOCTRINE: Long-term refinement of Round 10 Datum Drag Matrix. Current L1 openings are landing-AGNOSTIC. This sheet replaces them with landing-SPECIFIC L1 variants — each entry × direction × landing combo gets its own opening voice. Per Captain: 'Datum FI deserves the max treatment.'</t>
  </si>
  <si>
    <t>STATUS: Phase 2.7 candidate. Round 10 33-cell matrix works well for current ship. Workstream Y (Shape+Datum Combos) ships first as it fills an active gap.</t>
  </si>
  <si>
    <t>DRAG CAP CONSTRAINTS — determines reachable landings per entry</t>
  </si>
  <si>
    <t>Datum UP: +100% from pin (Datum can double)</t>
  </si>
  <si>
    <t>Datum DOWN: -50% from pin (Datum can halve)</t>
  </si>
  <si>
    <t>LANDING-AWARE L1 CELLS — Entry × Direction × Landing</t>
  </si>
  <si>
    <t>Reachable?</t>
  </si>
  <si>
    <t>L1 Opening (advisor authors)</t>
  </si>
  <si>
    <t>LA-OE_STRUCTURAL-UP-OE_STRUCTURAL</t>
  </si>
  <si>
    <t>YES</t>
  </si>
  <si>
    <t>{deltaDatum_fmt}, {newDatum_fmt}, {ceilGap_fmt}, {floorGap_fmt}</t>
  </si>
  <si>
    <t>LA-OE_STRUCTURAL-DN-OE_STRUCTURAL</t>
  </si>
  <si>
    <t>DN</t>
  </si>
  <si>
    <t>LA-OE_STRUCTURAL-DN-OE_ENTRY</t>
  </si>
  <si>
    <t>LA-OE_STRUCTURAL-DN-STR_HIGH_END</t>
  </si>
  <si>
    <t>STR HIGH END</t>
  </si>
  <si>
    <t>You were significantly above the Ceiling — already in Overextended territory — and you lowered the Datum {deltaDatum_fmt}, moving into Stretched High End. The Datum landed nearly at the Ceiling — {ceilGap_fmt} of margin remaining. The plan carries this, but with little room for a run of poor returns. Studio can show what that buffer is worth under stress.</t>
  </si>
  <si>
    <t>LA-OE_STRUCTURAL-DN-STR_STANDARD</t>
  </si>
  <si>
    <t>You were significantly above the Ceiling — already in Overextended territory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</si>
  <si>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LA-OE_STRUCTURAL-DN-EXP_CEILING_SIDE</t>
  </si>
  <si>
    <t>EXP CEILING SIDE</t>
  </si>
  <si>
    <t>You were significantly above the Ceiling — already in Overextended territory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</si>
  <si>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LA-OE_ENTRY-UP-OE_STRUCTURAL</t>
  </si>
  <si>
    <t>LA-OE_ENTRY-UP-OE_ENTRY</t>
  </si>
  <si>
    <t>LA-OE_ENTRY-DN-OE_ENTRY</t>
  </si>
  <si>
    <t>LA-OE_ENTRY-DN-STR_HIGH_END</t>
  </si>
  <si>
    <t>You were just over the Ceiling — on the edge of feasibility — and you lowered the Datum {deltaDatum_fmt}, moving into Stretched High End. The Datum landed nearly at the Ceiling — {ceilGap_fmt} of margin remaining. The plan carries this, but with little room for a run of poor returns. Studio can show what that buffer is worth under stress.</t>
  </si>
  <si>
    <t>LA-OE_ENTRY-DN-STR_STANDARD</t>
  </si>
  <si>
    <t>You were just over the Ceiling — on the edge of feasibility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</si>
  <si>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LA-OE_ENTRY-DN-EXP_CEILING_SIDE</t>
  </si>
  <si>
    <t>You were just over the Ceiling — on the edge of feasibility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</si>
  <si>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LA-OE_ENTRY-DN-EXP_CENTERED</t>
  </si>
  <si>
    <t>You were just over the Ceiling — on the edge of feasibility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</si>
  <si>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LA-STR_HIGH_END-UP-OE_STRUCTURAL</t>
  </si>
  <si>
    <t>LA-STR_HIGH_END-UP-OE_ENTRY</t>
  </si>
  <si>
    <t>LA-STR_HIGH_END-UP-STR_HIGH_END</t>
  </si>
  <si>
    <t>You were nearly touching the Ceiling from below — at the plan's upper limit — and you raised the Datum {deltaDatum_fmt}, moving into Stretched High End. The Datum landed nearly at the Ceiling — {ceilGap_fmt} of margin remaining. The plan carries this, but with little room for a run of poor returns. Studio can show what that buffer is worth under stress.</t>
  </si>
  <si>
    <t>LA-STR_HIGH_END-DN-STR_HIGH_END</t>
  </si>
  <si>
    <t>You were nearly touching the Ceiling from below — at the plan's upper limit — and you lowered the Datum {deltaDatum_fmt}, moving into Stretched High End. The Datum landed nearly at the Ceiling — {ceilGap_fmt} of margin remaining. The plan carries this, but with little room for a run of poor returns. Studio can show what that buffer is worth under stress.</t>
  </si>
  <si>
    <t>LA-STR_HIGH_END-DN-STR_STANDARD</t>
  </si>
  <si>
    <t>You were nearly touching the Ceiling from below — at the plan's upper limit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</si>
  <si>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LA-STR_HIGH_END-DN-EXP_CEILING_SIDE</t>
  </si>
  <si>
    <t>You were nearly touching the Ceiling from below — at the plan's upper limit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</si>
  <si>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LA-STR_HIGH_END-DN-EXP_CENTERED</t>
  </si>
  <si>
    <t>You were nearly touching the Ceiling from below — at the plan's upper limit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</si>
  <si>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LA-STR_HIGH_END-DN-EXP_FLOOR_SIDE</t>
  </si>
  <si>
    <t>EXP FLOOR SIDE</t>
  </si>
  <si>
    <t>You were nearly touching the Ceiling from below — at the plan's upper limit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</si>
  <si>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LA-STR_STANDARD-UP-OE_STRUCTURAL</t>
  </si>
  <si>
    <t>LA-STR_STANDARD-UP-OE_ENTRY</t>
  </si>
  <si>
    <t>LA-STR_STANDARD-UP-STR_HIGH_END</t>
  </si>
  <si>
    <t>You were in Stretched territory — spending near the Ceiling with limited buffer — and you raised the Datum {deltaDatum_fmt}, moving into Stretched High End. The Datum landed nearly at the Ceiling — {ceilGap_fmt} of margin remaining. The plan carries this, but with little room for a run of poor returns. Studio can show what that buffer is worth under stress.</t>
  </si>
  <si>
    <t>LA-STR_STANDARD-UP-STR_STANDARD</t>
  </si>
  <si>
    <t>You were in Stretched territory — spending near the Ceiling with limited buffer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</si>
  <si>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LA-STR_STANDARD-DN-STR_STANDARD</t>
  </si>
  <si>
    <t>You were in Stretched territory — spending near the Ceiling with limited buffer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</si>
  <si>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LA-STR_STANDARD-DN-EXP_CEILING_SIDE</t>
  </si>
  <si>
    <t>You were in Stretched territory — spending near the Ceiling with limited buffer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</si>
  <si>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LA-STR_STANDARD-DN-EXP_CENTERED</t>
  </si>
  <si>
    <t>You were in Stretched territory — spending near the Ceiling with limited buffer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</si>
  <si>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LA-STR_STANDARD-DN-EXP_FLOOR_SIDE</t>
  </si>
  <si>
    <t>You were in Stretched territory — spending near the Ceiling with limited buffer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</si>
  <si>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LA-STR_STANDARD-DN-GND_STABLE</t>
  </si>
  <si>
    <t>You were in Stretched territory — spending near the Ceiling with limited buffer — and you lowered the Datum {deltaDatum_fmt}, moving into Grounded Stable. The Datum landed near the Floor — {floorGap_fmt} above the plan's lower boundary. The plan supports this, but the margin is thin. Studio can show how this holds if returns come in below the base case.</t>
  </si>
  <si>
    <t>LA-EXP_CEILING_SIDE-UP-OE_STRUCTURAL</t>
  </si>
  <si>
    <t>LA-EXP_CEILING_SIDE-UP-OE_ENTRY</t>
  </si>
  <si>
    <t>LA-EXP_CEILING_SIDE-UP-STR_HIGH_END</t>
  </si>
  <si>
    <t>You were in the upper range of Expansive — comfortable, but toward the higher end — and you raised the Datum {deltaDatum_fmt}, moving into Stretched High End. The Datum landed nearly at the Ceiling — {ceilGap_fmt} of margin remaining. The plan carries this, but with little room for a run of poor returns. Studio can show what that buffer is worth under stress.</t>
  </si>
  <si>
    <t>LA-EXP_CEILING_SIDE-UP-STR_STANDARD</t>
  </si>
  <si>
    <t>You were in the upper range of Expansive — comfortable, but toward the higher end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</si>
  <si>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LA-EXP_CEILING_SIDE-UP-EXP_CEILING_SIDE</t>
  </si>
  <si>
    <t>You were in the upper range of Expansive — comfortable, but toward the higher end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</si>
  <si>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LA-EXP_CEILING_SIDE-DN-EXP_CEILING_SIDE</t>
  </si>
  <si>
    <t>You were in the upper range of Expansive — comfortable, but toward the higher end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</si>
  <si>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LA-EXP_CEILING_SIDE-DN-EXP_CENTERED</t>
  </si>
  <si>
    <t>You were in the upper range of Expansive — comfortable, but toward the higher end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</si>
  <si>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LA-EXP_CEILING_SIDE-DN-EXP_FLOOR_SIDE</t>
  </si>
  <si>
    <t>You were in the upper range of Expansive — comfortable, but toward the higher end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</si>
  <si>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LA-EXP_CEILING_SIDE-DN-GND_STABLE</t>
  </si>
  <si>
    <t>You were in the upper range of Expansive — comfortable, but toward the higher end — and you lowered the Datum {deltaDatum_fmt}, moving into Grounded Stable. The Datum landed near the Floor — {floorGap_fmt} above the plan's lower boundary. The plan supports this, but the margin is thin. Studio can show how this holds if returns come in below the base case.</t>
  </si>
  <si>
    <t>LA-EXP_CEILING_SIDE-DN-GND_TIGHT</t>
  </si>
  <si>
    <t>You were in the upper range of Expansive — comfortable, but toward the higher end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</si>
  <si>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LA-EXP_CENTERED-UP-OE_STRUCTURAL</t>
  </si>
  <si>
    <t>LA-EXP_CENTERED-UP-OE_ENTRY</t>
  </si>
  <si>
    <t>LA-EXP_CENTERED-UP-STR_HIGH_END</t>
  </si>
  <si>
    <t>You were in the middle of Expansive — balanced, with room above and below — and you raised the Datum {deltaDatum_fmt}, moving into Stretched High End. The Datum landed nearly at the Ceiling — {ceilGap_fmt} of margin remaining. The plan carries this, but with little room for a run of poor returns. Studio can show what that buffer is worth under stress.</t>
  </si>
  <si>
    <t>LA-EXP_CENTERED-UP-STR_STANDARD</t>
  </si>
  <si>
    <t>You were in the middle of Expansive — balanced, with room above and below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</si>
  <si>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LA-EXP_CENTERED-UP-EXP_CEILING_SIDE</t>
  </si>
  <si>
    <t>You were in the middle of Expansive — balanced, with room above and below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</si>
  <si>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LA-EXP_CENTERED-UP-EXP_CENTERED</t>
  </si>
  <si>
    <t>You were in the middle of Expansive — balanced, with room above and below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</si>
  <si>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LA-EXP_CENTERED-DN-EXP_CENTERED</t>
  </si>
  <si>
    <t>You were in the middle of Expansive — balanced, with room above and below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</si>
  <si>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LA-EXP_CENTERED-DN-EXP_FLOOR_SIDE</t>
  </si>
  <si>
    <t>You were in the middle of Expansive — balanced, with room above and below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</si>
  <si>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LA-EXP_CENTERED-DN-GND_STABLE</t>
  </si>
  <si>
    <t>You were in the middle of Expansive — balanced, with room above and below — and you lowered the Datum {deltaDatum_fmt}, moving into Grounded Stable. The Datum landed near the Floor — {floorGap_fmt} above the plan's lower boundary. The plan supports this, but the margin is thin. Studio can show how this holds if returns come in below the base case.</t>
  </si>
  <si>
    <t>LA-EXP_CENTERED-DN-GND_TIGHT</t>
  </si>
  <si>
    <t>You were in the middle of Expansive — balanced, with room above and below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</si>
  <si>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LA-EXP_CENTERED-DN-ABU_JUST_BELOW</t>
  </si>
  <si>
    <t>ABU JUST BELOW</t>
  </si>
  <si>
    <t>You were in the middle of Expansive — balanced, with room above and below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</si>
  <si>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LA-EXP_FLOOR_SIDE-UP-OE_STRUCTURAL</t>
  </si>
  <si>
    <t>LA-EXP_FLOOR_SIDE-UP-OE_ENTRY</t>
  </si>
  <si>
    <t>LA-EXP_FLOOR_SIDE-UP-STR_HIGH_END</t>
  </si>
  <si>
    <t>You were in the lower range of Expansive — spending modestly relative to plan capacity — and you raised the Datum {deltaDatum_fmt}, moving into Stretched High End. The Datum landed nearly at the Ceiling — {ceilGap_fmt} of margin remaining. The plan carries this, but with little room for a run of poor returns. Studio can show what that buffer is worth under stress.</t>
  </si>
  <si>
    <t>LA-EXP_FLOOR_SIDE-UP-STR_STANDARD</t>
  </si>
  <si>
    <t>You were in the lower range of Expansive — spending modestly relative to plan capacity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</si>
  <si>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LA-EXP_FLOOR_SIDE-UP-EXP_CEILING_SIDE</t>
  </si>
  <si>
    <t>You were in the lower range of Expansive — spending modestly relative to plan capacity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</si>
  <si>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LA-EXP_FLOOR_SIDE-UP-EXP_CENTERED</t>
  </si>
  <si>
    <t>You were in the lower range of Expansive — spending modestly relative to plan capacity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</si>
  <si>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LA-EXP_FLOOR_SIDE-UP-EXP_FLOOR_SIDE</t>
  </si>
  <si>
    <t>You were in the lower range of Expansive — spending modestly relative to plan capacity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</si>
  <si>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LA-EXP_FLOOR_SIDE-DN-EXP_FLOOR_SIDE</t>
  </si>
  <si>
    <t>You were in the lower range of Expansive — spending modestly relative to plan capacity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</si>
  <si>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LA-EXP_FLOOR_SIDE-DN-GND_STABLE</t>
  </si>
  <si>
    <t>You were in the lower range of Expansive — spending modestly relative to plan capacity — and you lowered the Datum {deltaDatum_fmt}, moving into Grounded Stable. The Datum landed near the Floor — {floorGap_fmt} above the plan's lower boundary. The plan supports this, but the margin is thin. Studio can show how this holds if returns come in below the base case.</t>
  </si>
  <si>
    <t>LA-EXP_FLOOR_SIDE-DN-GND_TIGHT</t>
  </si>
  <si>
    <t>You were in the lower range of Expansive — spending modestly relative to plan capacity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</si>
  <si>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LA-EXP_FLOOR_SIDE-DN-ABU_JUST_BELOW</t>
  </si>
  <si>
    <t>You were in the lower range of Expansive — spending modestly relative to plan capacity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</si>
  <si>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LA-EXP_FLOOR_SIDE-DN-ABU_WELL_BELOW</t>
  </si>
  <si>
    <t>ABU WELL BELOW</t>
  </si>
  <si>
    <t>LA-GND_STABLE-UP-OE_ENTRY</t>
  </si>
  <si>
    <t>LA-GND_STABLE-UP-STR_HIGH_END</t>
  </si>
  <si>
    <t>You were in Grounded territory — spending near the Floor, well inside the plan's supported range — and you raised the Datum {deltaDatum_fmt}, moving into Stretched High End. The Datum landed nearly at the Ceiling — {ceilGap_fmt} of margin remaining. The plan carries this, but with little room for a run of poor returns. Studio can show what that buffer is worth under stress.</t>
  </si>
  <si>
    <t>LA-GND_STABLE-UP-STR_STANDARD</t>
  </si>
  <si>
    <t>You were in Grounded territory — spending near the Floor, well inside the plan's supported range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</si>
  <si>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LA-GND_STABLE-UP-EXP_CEILING_SIDE</t>
  </si>
  <si>
    <t>You were in Grounded territory — spending near the Floor, well inside the plan's supported range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</si>
  <si>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LA-GND_STABLE-UP-EXP_CENTERED</t>
  </si>
  <si>
    <t>You were in Grounded territory — spending near the Floor, well inside the plan's supported range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</si>
  <si>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LA-GND_STABLE-UP-EXP_FLOOR_SIDE</t>
  </si>
  <si>
    <t>You were in Grounded territory — spending near the Floor, well inside the plan's supported range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</si>
  <si>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LA-GND_STABLE-UP-GND_STABLE</t>
  </si>
  <si>
    <t>You were in Grounded territory — spending near the Floor, well inside the plan's supported range — and you raised the Datum {deltaDatum_fmt}, moving into Grounded Stable. The Datum landed near the Floor — {floorGap_fmt} above the plan's lower boundary. The plan supports this, but the margin is thin. Studio can show how this holds if returns come in below the base case.</t>
  </si>
  <si>
    <t>LA-GND_STABLE-DN-GND_STABLE</t>
  </si>
  <si>
    <t>You were in Grounded territory — spending near the Floor, well inside the plan's supported range — and you lowered the Datum {deltaDatum_fmt}, moving into Grounded Stable. The Datum landed near the Floor — {floorGap_fmt} above the plan's lower boundary. The plan supports this, but the margin is thin. Studio can show how this holds if returns come in below the base case.</t>
  </si>
  <si>
    <t>LA-GND_STABLE-DN-GND_TIGHT</t>
  </si>
  <si>
    <t>You were in Grounded territory — spending near the Floor, well inside the plan's supported range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</si>
  <si>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LA-GND_STABLE-DN-ABU_JUST_BELOW</t>
  </si>
  <si>
    <t>You were in Grounded territory — spending near the Floor, well inside the plan's supported range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</si>
  <si>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LA-GND_STABLE-DN-ABU_WELL_BELOW</t>
  </si>
  <si>
    <t>LA-GND_TIGHT-UP-STR_HIGH_END</t>
  </si>
  <si>
    <t>You were in the paradox zone — spending nearly equal to the plan's minimum Floor — and you raised the Datum {deltaDatum_fmt}, moving into Stretched High End. The Datum landed nearly at the Ceiling — {ceilGap_fmt} of margin remaining. The plan carries this, but with little room for a run of poor returns. Studio can show what that buffer is worth under stress.</t>
  </si>
  <si>
    <t>LA-GND_TIGHT-UP-STR_STANDARD</t>
  </si>
  <si>
    <t>You were in the paradox zone — spending nearly equal to the plan's minimum Floor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</si>
  <si>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LA-GND_TIGHT-UP-EXP_CEILING_SIDE</t>
  </si>
  <si>
    <t>You were in the paradox zone — spending nearly equal to the plan's minimum Floor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</si>
  <si>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LA-GND_TIGHT-UP-EXP_CENTERED</t>
  </si>
  <si>
    <t>You were in the paradox zone — spending nearly equal to the plan's minimum Floor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</si>
  <si>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LA-GND_TIGHT-UP-EXP_FLOOR_SIDE</t>
  </si>
  <si>
    <t>You were in the paradox zone — spending nearly equal to the plan's minimum Floor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</si>
  <si>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LA-GND_TIGHT-UP-GND_STABLE</t>
  </si>
  <si>
    <t>You were in the paradox zone — spending nearly equal to the plan's minimum Floor — and you raised the Datum {deltaDatum_fmt}, moving into Grounded Stable. The Datum landed near the Floor — {floorGap_fmt} above the plan's lower boundary. The plan supports this, but the margin is thin. Studio can show how this holds if returns come in below the base case.</t>
  </si>
  <si>
    <t>LA-GND_TIGHT-UP-GND_TIGHT</t>
  </si>
  <si>
    <t>You were in the paradox zone — spending nearly equal to the plan's minimum Floor — and you raised the Datum {deltaDatum_fmt}, moving into Grounded Tight. The Datum landed in the paradox zone — spending nearly equal to the Floor. The plan's minimum and your ask are essentially the same. Studio can show what a small move in either direction does to that margin.</t>
  </si>
  <si>
    <t>LA-GND_TIGHT-DN-GND_TIGHT</t>
  </si>
  <si>
    <t>You were in the paradox zone — spending nearly equal to the plan's minimum Floor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</si>
  <si>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LA-GND_TIGHT-DN-ABU_JUST_BELOW</t>
  </si>
  <si>
    <t>You were in the paradox zone — spending nearly equal to the plan's minimum Floor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</si>
  <si>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LA-GND_TIGHT-DN-ABU_WELL_BELOW</t>
  </si>
  <si>
    <t>LA-ABU_JUST_BELOW-UP-STR_STANDARD</t>
  </si>
  <si>
    <t>You were just below the Floor — the plan already supporting more than you were asking for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</si>
  <si>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LA-ABU_JUST_BELOW-UP-EXP_CEILING_SIDE</t>
  </si>
  <si>
    <t>You were just below the Floor — the plan already supporting more than you were asking for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</si>
  <si>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LA-ABU_JUST_BELOW-UP-EXP_CENTERED</t>
  </si>
  <si>
    <t>You were just below the Floor — the plan already supporting more than you were asking for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</si>
  <si>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LA-ABU_JUST_BELOW-UP-EXP_FLOOR_SIDE</t>
  </si>
  <si>
    <t>You were just below the Floor — the plan already supporting more than you were asking for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</si>
  <si>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LA-ABU_JUST_BELOW-UP-GND_STABLE</t>
  </si>
  <si>
    <t>You were just below the Floor — the plan already supporting more than you were asking for — and you raised the Datum {deltaDatum_fmt}, moving into Grounded Stable. The Datum landed near the Floor — {floorGap_fmt} above the plan's lower boundary. The plan supports this, but the margin is thin. Studio can show how this holds if returns come in below the base case.</t>
  </si>
  <si>
    <t>LA-ABU_JUST_BELOW-UP-GND_TIGHT</t>
  </si>
  <si>
    <t>You were just below the Floor — the plan already supporting more than you were asking for — and you raised the Datum {deltaDatum_fmt}, moving into Grounded Tight. The Datum landed in the paradox zone — spending nearly equal to the Floor. The plan's minimum and your ask are essentially the same. Studio can show what a small move in either direction does to that margin.</t>
  </si>
  <si>
    <t>LA-ABU_JUST_BELOW-UP-ABU_JUST_BELOW</t>
  </si>
  <si>
    <t>You were just below the Floor — the plan already supporting more than you were asking for — and you raised the Datum {deltaDatum_fmt}, moving into Abundant Just Below. The Datum landed just below the Floor — the plan's minimum now exceeds what you're asking for by {floorGap_fmt}. Studio can show what that surplus could fund: earlier retirement, larger legacy, or stronger resilience.</t>
  </si>
  <si>
    <t>LA-ABU_JUST_BELOW-DN-ABU_JUST_BELOW</t>
  </si>
  <si>
    <t>You were just below the Floor — the plan already supporting more than you were asking for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</si>
  <si>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LA-ABU_JUST_BELOW-DN-ABU_WELL_BELOW</t>
  </si>
  <si>
    <t>LA-ABU_WELL_BELOW-UP-STR_STANDARD</t>
  </si>
  <si>
    <t>You were well below the Floor — spending significantly less than the plan's minimum capacity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</si>
  <si>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LA-ABU_WELL_BELOW-UP-EXP_CEILING_SIDE</t>
  </si>
  <si>
    <t>You were well below the Floor — spending significantly less than the plan's minimum capacity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</si>
  <si>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LA-ABU_WELL_BELOW-UP-EXP_CENTERED</t>
  </si>
  <si>
    <t>You were well below the Floor — spending significantly less than the plan's minimum capacity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</si>
  <si>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LA-ABU_WELL_BELOW-UP-EXP_FLOOR_SIDE</t>
  </si>
  <si>
    <t>You were well below the Floor — spending significantly less than the plan's minimum capacity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</si>
  <si>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LA-ABU_WELL_BELOW-UP-GND_STABLE</t>
  </si>
  <si>
    <t>You were well below the Floor — spending significantly less than the plan's minimum capacity — and you raised the Datum {deltaDatum_fmt}, moving into Grounded Stable. The Datum landed near the Floor — {floorGap_fmt} above the plan's lower boundary. The plan supports this, but the margin is thin. Studio can show how this holds if returns come in below the base case.</t>
  </si>
  <si>
    <t>LA-ABU_WELL_BELOW-UP-GND_TIGHT</t>
  </si>
  <si>
    <t>You were well below the Floor — spending significantly less than the plan's minimum capacity — and you raised the Datum {deltaDatum_fmt}, moving into Grounded Tight. The Datum landed in the paradox zone — spending nearly equal to the Floor. The plan's minimum and your ask are essentially the same. Studio can show what a small move in either direction does to that margin.</t>
  </si>
  <si>
    <t>LA-ABU_WELL_BELOW-UP-ABU_JUST_BELOW</t>
  </si>
  <si>
    <t>You were well below the Floor — spending significantly less than the plan's minimum capacity — and you raised the Datum {deltaDatum_fmt}, moving into Abundant Just Below. The Datum landed just below the Floor — the plan's minimum now exceeds what you're asking for by {floorGap_fmt}. Studio can show what that surplus could fund: earlier retirement, larger legacy, or stronger resilience.</t>
  </si>
  <si>
    <t>LA-ABU_WELL_BELOW-UP-ABU_WELL_BELOW</t>
  </si>
  <si>
    <t>LA-ABU_WELL_BELOW-DN-ABU_WELL_BELOW</t>
  </si>
  <si>
    <t>TOTAL CELLS TO AUTHOR: 102 (UP: 57, DN: 45)</t>
  </si>
  <si>
    <t>VOICE ANCHORS FOR ADVISOR (when this workstream activates)</t>
  </si>
  <si>
    <t>Each L1 opening should acknowledge BOTH entry state AND landing state in opening sentences.</t>
  </si>
  <si>
    <t>Example: D-EXP-CTR-UP landing OE_STRUCTURAL → 'You were comfortably mid-Expansive and raised the Datum significantly past the Ceiling — what was a balanced position is now a structural infeasibility.'</t>
  </si>
  <si>
    <t>Example: D-ABU-WB-UP landing STR_STANDARD → 'You were well below the Floor — surplus capacity — and raised the Datum into Stretched territory, testing whether ambition can climb that far in one move.'</t>
  </si>
  <si>
    <t>L2 LANDING modifier from Round 10 still appends below — Workstream X enriches L1; L2 layer unchanged.</t>
  </si>
  <si>
    <t>Capitalization doctrine: Floor / Ceiling / Shape / Datum / state names always capitalized.</t>
  </si>
  <si>
    <t>2026-05-23 ~4:35 PM ET | 🟡 ADVISOR AUTHORING PENDING — Workstream Y (Shape+Datum Combos) · Captain identified during Round 10 verify · Block A/B/C currently ignore Datum context · 15 cells to author · Round 11 implementation target after advisor return</t>
  </si>
  <si>
    <t>📋 SCREEN 2 — SHAPE+DATUM COMBOS (Advisor Authoring Scaffold)</t>
  </si>
  <si>
    <t>🔒 CAPTAIN DOCTRINE: When user pulls Ceiling, Floor, or both, the Datum's POSITION at that new Shape geometry is essential context. A $200k Ceiling means different things if Datum sits at $80k vs $180k. Current Block A/B/C copy ignores Datum context entirely — this sheet fills that gap.</t>
  </si>
  <si>
    <t>FRAMING: When Ceiling/Floor moves but Datum is statically pinned, the user is asking 'can I pull this geometry while my spending intent stays here?' The Datum's position relative to the NEW Shape (Expansive / Stretched / Overextended / Grounded / Abundant) informs whether the move is comfortable, strained, or impossible.</t>
  </si>
  <si>
    <t>VARIABLES AVAILABLE AT RENDER TIME</t>
  </si>
  <si>
    <t>Format example</t>
  </si>
  <si>
    <t>{newCeil_fmt}</t>
  </si>
  <si>
    <t>Post-drag Ceiling value</t>
  </si>
  <si>
    <t>$220k/yr</t>
  </si>
  <si>
    <t>{newFloor_fmt}</t>
  </si>
  <si>
    <t>Post-drag Floor value</t>
  </si>
  <si>
    <t>$95k/yr</t>
  </si>
  <si>
    <t>Datum position (unchanged from Screen 1)</t>
  </si>
  <si>
    <t>$140k/yr</t>
  </si>
  <si>
    <t>Absolute distance Datum→Ceiling</t>
  </si>
  <si>
    <t>$80k</t>
  </si>
  <si>
    <t>Absolute distance Datum→Floor</t>
  </si>
  <si>
    <t>$45k</t>
  </si>
  <si>
    <t>{datumZone_fmt}</t>
  </si>
  <si>
    <t>Datum's sub-zone in NEW Shape geometry</t>
  </si>
  <si>
    <t>Expansive Centered / Stretched High_End / etc.</t>
  </si>
  <si>
    <t>{ceilDelta_fmt}</t>
  </si>
  <si>
    <t>Ceiling drag magnitude (signed)</t>
  </si>
  <si>
    <t>+$22k/yr</t>
  </si>
  <si>
    <t>{floorDelta_fmt}</t>
  </si>
  <si>
    <t>Floor drag magnitude (signed)</t>
  </si>
  <si>
    <t>-$8k/yr</t>
  </si>
  <si>
    <t>BLOCK A — CEILING-ONLY DRAG × DATUM CONTEXT (5 cells)</t>
  </si>
  <si>
    <t>Trigger: r.block === 'A' (Ceiling-only drag). Datum static at pin. Datum's position relative to new Ceiling determines copy variant.</t>
  </si>
  <si>
    <t>Datum Zone in New Shape</t>
  </si>
  <si>
    <t>Datum Context Copy (advisor authors)</t>
  </si>
  <si>
    <t>Voice Anchor</t>
  </si>
  <si>
    <t>A-DAT-OE</t>
  </si>
  <si>
    <t>OVEREXTENDED (Datum above new Ceiling)</t>
  </si>
  <si>
    <t>Ceiling drag lowered new Ceiling below static Datum OR Datum was already above raised Ceiling</t>
  </si>
  <si>
    <t>{newCeil_fmt}, {pinDatum_fmt}, {ceilGap_fmt}, {ceilDelta_fmt}</t>
  </si>
  <si>
    <t>Acknowledge: Ceiling moved but Datum now exceeds it — critical mismatch</t>
  </si>
  <si>
    <t>Block A authoring — Ceiling-only drag, Datum static, Datum now OE</t>
  </si>
  <si>
    <t>A-DAT-STR</t>
  </si>
  <si>
    <t>STRETCHED (Datum near new Ceiling, still below)</t>
  </si>
  <si>
    <t>New Ceiling close to but above static Datum</t>
  </si>
  <si>
    <t>Tight margin — Datum sits at edge of new capacity</t>
  </si>
  <si>
    <t>Block A authoring — Ceiling-only drag, tight margin to Datum</t>
  </si>
  <si>
    <t>A-DAT-EXP</t>
  </si>
  <si>
    <t>EXPANSIVE (Datum mid-zone in new Shape)</t>
  </si>
  <si>
    <t>New Ceiling comfortably above static Datum</t>
  </si>
  <si>
    <t>Comfortable — the Ceiling move opened or preserved healthy headroom above Datum</t>
  </si>
  <si>
    <t>Block A authoring — Ceiling-only drag, comfortable for Datum</t>
  </si>
  <si>
    <t>A-DAT-GND</t>
  </si>
  <si>
    <t>GROUNDED (Datum near Floor in new Shape)</t>
  </si>
  <si>
    <t>Ceiling raised significantly while Floor static; Datum now appears low-positioned</t>
  </si>
  <si>
    <t>{newCeil_fmt}, {pinDatum_fmt}, {ceilGap_fmt}, {floorGap_fmt}</t>
  </si>
  <si>
    <t>Datum looks conservative against raised Ceiling — opportunity framing</t>
  </si>
  <si>
    <t>Block A authoring — Ceiling raised, Datum looks GROUNDED</t>
  </si>
  <si>
    <t>A-DAT-ABU</t>
  </si>
  <si>
    <t>ABUNDANT (Datum below Floor in new Shape)</t>
  </si>
  <si>
    <t>Rare — Ceiling drag doesn't normally cross Floor, but possible in edge cases</t>
  </si>
  <si>
    <t>Edge case — large Ceiling move while Datum unchanged shows large surplus framing</t>
  </si>
  <si>
    <t>Block A authoring — edge case</t>
  </si>
  <si>
    <t>BLOCK B — FLOOR-ONLY DRAG × DATUM CONTEXT (5 cells)</t>
  </si>
  <si>
    <t>Trigger: r.block === 'B' (Floor-only drag). Datum static at pin. Datum's position relative to new Floor determines copy variant.</t>
  </si>
  <si>
    <t>B-DAT-OE</t>
  </si>
  <si>
    <t>OVEREXTENDED (Datum above Ceiling in new Shape)</t>
  </si>
  <si>
    <t>Floor moved but Datum already above static Ceiling (no real change to Datum-Ceiling relationship; Floor move reframes context)</t>
  </si>
  <si>
    <t>{newFloor_fmt}, {pinDatum_fmt}, {floorGap_fmt}, {floorDelta_fmt}</t>
  </si>
  <si>
    <t>Datum still OE — Floor move doesn't address the structural issue</t>
  </si>
  <si>
    <t>Block B authoring — Floor drag while Datum already OE</t>
  </si>
  <si>
    <t>B-DAT-STR</t>
  </si>
  <si>
    <t>STRETCHED (Datum near Ceiling)</t>
  </si>
  <si>
    <t>Floor moved but Datum still tight to Ceiling</t>
  </si>
  <si>
    <t>Floor move changes resilience but not the headroom problem</t>
  </si>
  <si>
    <t>Block B authoring — Floor drag while Datum tight to Ceiling</t>
  </si>
  <si>
    <t>B-DAT-EXP</t>
  </si>
  <si>
    <t>EXPANSIVE (Datum mid-zone)</t>
  </si>
  <si>
    <t>Floor moved; Datum comfortably between Floor and Ceiling</t>
  </si>
  <si>
    <t>Floor move adjusts resilience — Datum still well-positioned</t>
  </si>
  <si>
    <t>Block B authoring — Floor drag, Datum comfortable</t>
  </si>
  <si>
    <t>B-DAT-GND</t>
  </si>
  <si>
    <t>GROUNDED (Datum near new Floor)</t>
  </si>
  <si>
    <t>Floor moved closer to (or above) static Datum — resilience squeezed</t>
  </si>
  <si>
    <t>Datum now tight to new Floor — margin to lower limit shrunk or inverted</t>
  </si>
  <si>
    <t>Block B authoring — Floor raised toward/past Datum</t>
  </si>
  <si>
    <t>B-DAT-ABU</t>
  </si>
  <si>
    <t>ABUNDANT (Datum below new Floor)</t>
  </si>
  <si>
    <t>Floor raised past static Datum — plan's minimum now exceeds Datum</t>
  </si>
  <si>
    <t>Plan's new minimum exceeds Datum — surplus capacity framing</t>
  </si>
  <si>
    <t>Block B authoring — Floor raised past Datum (creates Abundant)</t>
  </si>
  <si>
    <t>BLOCK C — CEILING+FLOOR COMBO DRAG × DATUM CONTEXT (5 cells)</t>
  </si>
  <si>
    <t>Trigger: r.block === 'C' (Cramer dual-drag of Ceiling AND Floor). Datum static at pin. Datum's position relative to new dual-edge Shape determines copy variant. This APPENDS context to the existing Block C COMBO Cramer output.</t>
  </si>
  <si>
    <t>C-DAT-OE</t>
  </si>
  <si>
    <t>COMBO drag positioned new Ceiling below static Datum — both edges moved but Datum now above the new upper boundary</t>
  </si>
  <si>
    <t>{newCeil_fmt}, {newFloor_fmt}, {pinDatum_fmt}, {ceilGap_fmt}</t>
  </si>
  <si>
    <t>Both edges moved but Datum is now infeasible against new Shape — structural mismatch</t>
  </si>
  <si>
    <t>Block C authoring — COMBO + Datum OE</t>
  </si>
  <si>
    <t>C-DAT-STR</t>
  </si>
  <si>
    <t>STRETCHED (Datum near new Ceiling)</t>
  </si>
  <si>
    <t>COMBO drag positioned Ceiling close to but above Datum</t>
  </si>
  <si>
    <t>Both edges moved; Datum now sits in tight upper range of new Shape</t>
  </si>
  <si>
    <t>Block C authoring — COMBO + Datum tight to Ceiling</t>
  </si>
  <si>
    <t>C-DAT-EXP</t>
  </si>
  <si>
    <t>COMBO drag created new Shape with Datum comfortably between new edges</t>
  </si>
  <si>
    <t>Both edges moved — Ceiling to {newCeil_fmt}, Floor to {newFloor_fmt} — and your spending at {pinDatum_fmt} sits {ceilGap_fmt} below the Ceiling and {floorGap_fmt} above the Floor. The new Shape positions the Datum comfortably in the middle — neither edge is close. Studio can show how this balanced position holds across a range of market scenarios.</t>
  </si>
  <si>
    <t>{newCeil_fmt}, {newFloor_fmt}, {pinDatum_fmt}, {ceilGap_fmt}, {floorGap_fmt}</t>
  </si>
  <si>
    <t>Both edges moved; Datum now well-positioned in expansive middle of new Shape</t>
  </si>
  <si>
    <t>Block C authoring — COMBO + Datum comfortable</t>
  </si>
  <si>
    <t>C-DAT-GND</t>
  </si>
  <si>
    <t>COMBO drag positioned Floor close to (or above) static Datum</t>
  </si>
  <si>
    <t>{newCeil_fmt}, {newFloor_fmt}, {pinDatum_fmt}, {floorGap_fmt}</t>
  </si>
  <si>
    <t>Both edges moved; Datum now tight to lower boundary of new Shape</t>
  </si>
  <si>
    <t>Block C authoring — COMBO + Datum tight to Floor</t>
  </si>
  <si>
    <t>C-DAT-ABU</t>
  </si>
  <si>
    <t>COMBO drag positioned new Floor above static Datum — surplus capacity</t>
  </si>
  <si>
    <t>Both edges moved; new Shape's lower limit now exceeds Datum — surplus framing</t>
  </si>
  <si>
    <t>Block C authoring — COMBO + Datum Abundant</t>
  </si>
  <si>
    <t>VOICE ANCHORS FOR ADVISOR</t>
  </si>
  <si>
    <t>Match Round 8 Block E v2 voice + Round 10 33-cell Datum Matrix voice.</t>
  </si>
  <si>
    <t>Capitalization: Floor / Ceiling / Shape / Datum / state names always capitalized.</t>
  </si>
  <si>
    <t>Tone: honest, plain English. Avoid engineer-speak. Variables woven naturally, not announced.</t>
  </si>
  <si>
    <t>Each cell ~2-3 sentences. This is a CONTEXT APPEND — short paragraph below Block A/B/C existing output.</t>
  </si>
  <si>
    <t>Studio bridge: include short Studio reference per cell, severity-graduated like Round 10 L2 modifiers.</t>
  </si>
  <si>
    <t>DOWN-equivalent doesn't apply here (Ceiling/Floor drag is dual-direction; Datum is static).</t>
  </si>
  <si>
    <t>IMPLEMENTATION NOTES (for Claude Round 11)</t>
  </si>
  <si>
    <t>1. Detect r.block === 'A', 'B', or 'C' as existing</t>
  </si>
  <si>
    <t>2. Compute datumZone from getShapeStateObj({ceilSpend: r.ceilTarget, floorSpend: r.floorTarget, datumSpend: ghostBaseline.targetSpend})</t>
  </si>
  <si>
    <t>3. Lookup matching {block}-DAT-{zone} cell from this matrix</t>
  </si>
  <si>
    <t>4. Render: existing Block A/B/C output FIRST, then append this Datum context as second card (or paragraph in existing card per Captain UX decision)</t>
  </si>
  <si>
    <t>5. Skip Datum context when datumDelta !== 0 (that's Surface D cross-routing territory, separate)</t>
  </si>
  <si>
    <t>[DEPRECATED — COMPRESSED state removed Phase 2.4-2.5. Will not trigger in production.]</t>
  </si>
  <si>
    <t>DEPRECATED — CMP state not in live classifier. 5 active states only: OE/STR/EXP/GRD/ABU.</t>
  </si>
  <si>
    <t>With this much buffer, you can raise your spending target, retire earlier, or keep the surplus as deliberate protection against bad sequences — the choice depends on what you actually want this plan to do.</t>
  </si>
  <si>
    <t>This Shape holds across most market paths. Confirm that your real accounts, tax picture, and Social Security choices preserve that margin once the averages are replaced with your actual numbers.</t>
  </si>
  <si>
    <t>A wide range gives you flexibility — retirement age, savings rate, withdrawal order, and Social Security timing can each narrow this band toward the specific landing point you care about most.</t>
  </si>
  <si>
    <t>A thin margin means the order of returns matters more than the average. Sequence‑of‑returns risk, allocation, Social Security timing, and savings rate are the levers that widen the cushion — each trades off against the others.</t>
  </si>
  <si>
    <t>⚠️ You're already significantly above the Ceiling — and you're testing whether the plan can carry even more. The Datum is now {deltaDatum_fmt} above where you started, sitting {ceilGap_fmt} past a limit the plan's current structure can't reach. This is a stress-test, not a plan state. The question isn't whether this works today — it doesn't — it's what would need to change for it to work.</t>
  </si>
  <si>
    <t>⚠️ You were significantly above the Ceiling — the plan unable to reach your spending level — and you pulled back. The Datum moved {deltaDatum_fmt} from your start, dropping toward or into viable territory. This is the right direction. Whether you've crossed back into a range the plan can support depends on how far you came.</t>
  </si>
  <si>
    <t>⚠️ The Datum has crossed significantly above the Ceiling — {ceilGap_fmt} past the plan's upper limit. At this spending level, the plan's current structure can't deliver. Studio can identify the most efficient structural change — portfolio, contributions, or timing — to close that gap and bring {newDatum_fmt} back into a range the plan can actually reach.</t>
  </si>
  <si>
    <t>⚠️ The Ceiling moved to {newCeil_fmt}, but your spending at {pinDatum_fmt} is now above it — the Shape changed, the mismatch didn't. Moving the Ceiling doesn’t resolve a Datum that exceeds it. That takes a structural change to the plan. Studio can show the most direct path to close that {ceilGap_fmt} gap.</t>
  </si>
  <si>
    <t>With the Ceiling at {newCeil_fmt}, your spending at {pinDatum_fmt} sits only {ceilGap_fmt} from the plan’s upper limit. The plan carries this, but without much room if markets run average or worse. Studio can show how that margin holds under real sequence-of-returns pressure.</t>
  </si>
  <si>
    <t>With the Ceiling at {newCeil_fmt}, your spending at {pinDatum_fmt} sits {ceilGap_fmt} below the plan’s upper limit. The Ceiling move preserved — or opened — meaningful headroom above where you’re spending. Studio can show the full range of capacity this Shape now supports.</t>
  </si>
  <si>
    <t>With the Ceiling at {newCeil_fmt}, your spending at {pinDatum_fmt} sits {ceilGap_fmt} below the upper limit and {floorGap_fmt} above the Floor. The Ceiling raise expanded the range above the Datum significantly — the plan can carry considerably more than you’re currently asking for. Studio can show what that unused capacity could fund.</t>
  </si>
  <si>
    <t>With the Ceiling at {newCeil_fmt}, your spending at {pinDatum_fmt} has dropped below the Floor — the plan’s minimum now exceeds what you’re asking for. The Ceiling drag expanded the upper range, but the Datum already sits below the lower boundary. Studio can show what that surplus represents and whether it’s a deliberate anchor or capacity worth reconsidering.</t>
  </si>
  <si>
    <t>⚠️ The Floor moved to {newFloor_fmt}, but the structural issue is still there: your spending at {pinDatum_fmt} sits above the Ceiling. Adjusting the Floor doesn’t change the Datum’s relationship to the Ceiling — the plan still can’t reach this spending level. Studio can show the most efficient path to bring {pinDatum_fmt} back into a supported range.</t>
  </si>
  <si>
    <t>The Floor moved to {newFloor_fmt}, but your spending at {pinDatum_fmt} is still {ceilGap_fmt} from the Ceiling. The Floor change shifts the plan’s resilience baseline — it doesn’t widen the headroom above the Datum. Studio can show how that thin upper margin behaves under sequence-of-returns stress.</t>
  </si>
  <si>
    <t>With the Floor at {newFloor_fmt}, your spending at {pinDatum_fmt} sits {floorGap_fmt} above the lower boundary and {ceilGap_fmt} below the Ceiling. The Floor move adjusted the plan’s resilience baseline without squeezing the Datum’s range. Studio can confirm how this position holds under stress.</t>
  </si>
  <si>
    <t>The Floor moved to {newFloor_fmt}, and your spending at {pinDatum_fmt} is now only {floorGap_fmt} above it — the margin between your spending and the plan’s lower boundary has thinned. Studio can show what happens to that margin when returns come in below the base case.</t>
  </si>
  <si>
    <t>The Floor moved to {newFloor_fmt}, and your spending at {pinDatum_fmt} is now below it — the plan’s minimum now exceeds what you’re asking for. Both are fine. But only one of them is a choice. Studio can show what that surplus could fund: earlier retirement, a larger legacy, or stronger stress resilience.</t>
  </si>
  <si>
    <t>⚠️ Both edges moved — Ceiling to {newCeil_fmt}, Floor to {newFloor_fmt} — and your spending at {pinDatum_fmt} is now above the new Ceiling. The Shape was repositioned, but the Datum sits outside it. The plan can’t deliver at this spending level under the new geometry. Studio can identify what structural change closes the gap most efficiently.</t>
  </si>
  <si>
    <t>Both edges moved — Ceiling to {newCeil_fmt}, Floor to {newFloor_fmt} — and your spending at {pinDatum_fmt} is now {ceilGap_fmt} from the upper limit. The plan carries this level, but the margin is thin. Studio can show how that buffer holds under sequence-of-returns stress at your actual account structure.</t>
  </si>
  <si>
    <t>Both edges moved — Ceiling to {newCeil_fmt}, Floor to {newFloor_fmt} — and your spending at {pinDatum_fmt} is now only {floorGap_fmt} above the new Floor. The plan supports it, but the lower margin is thin. Studio can show what happens to that margin when returns come in below the base case.</t>
  </si>
  <si>
    <t>Both edges moved — Ceiling to {newCeil_fmt}, Floor to {newFloor_fmt} — and your spending at {pinDatum_fmt} is now {floorGap_fmt} below the new Floor. The new Shape’s lower boundary has risen above the Datum. The plan’s minimum now exceeds what you’re asking for. Studio can show what that surplus means in concrete terms — years, legacy, or resilience.</t>
  </si>
  <si>
    <t>2026-05-24 ~9:15 AM ET | 🟢 ROUND 13 ABSORPTION CAPTAIN-APPROVED — 23 cells (8 OE_STRUCTURAL + 9 OE_ENTRY + 6 ABU_WELL_BELOW) absorbed L2 distinct angles · ⚠️ glyph OE_STRUCT only (advisor Task 5 ruling) · 3-lever enumeration in OE cells · choice-framing + 3-option enumeration in ABU_WELL_BELOW · Status H tagged ADVISOR-AUTHORED + R13-CLEAN · READY FOR V9 ARCHIVAL + ROUND 13 CLAUDE DISPATCH</t>
  </si>
  <si>
    <t>⚠️ You were significantly above the Ceiling — already in Overextended territory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</si>
  <si>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ADVISOR-AUTHORED + R13-CLEAN</t>
  </si>
  <si>
    <t>⚠️ You were significantly above the Ceiling — already in Overextended territory — and you lowered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</si>
  <si>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significantly above the Ceiling — already in Overextended territory — and you lowered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</si>
  <si>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just over the Ceiling — on the edge of feasibility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</si>
  <si>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just over the Ceiling — on the edge of feasibility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</si>
  <si>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You were just over the Ceiling — on the edge of feasibility — and you lowered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</si>
  <si>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nearly touching the Ceiling from below — at the plan's upper limit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</si>
  <si>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nearly touching the Ceiling from below — at the plan's upper limit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</si>
  <si>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in Stretched territory — spending near the Ceiling with limited buffer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</si>
  <si>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in Stretched territory — spending near the Ceiling with limited buffer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</si>
  <si>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in the upper range of Expansive — comfortable, but toward the higher end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</si>
  <si>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in the upper range of Expansive — comfortable, but toward the higher end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</si>
  <si>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in the middle of Expansive — balanced, with room above and below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</si>
  <si>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in the middle of Expansive — balanced, with room above and below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</si>
  <si>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in the lower range of Expansive — spending modestly relative to plan capacity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</si>
  <si>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in the lower range of Expansive — spending modestly relative to plan capacity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</si>
  <si>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You were in the lower range of Expansive — spending modestly relative to plan capacity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</si>
  <si>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in Grounded territory — spending near the Floor, well inside the plan's supported range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</si>
  <si>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You were in Grounded territory — spending near the Floor, well inside the plan's supported range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</si>
  <si>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in the paradox zone — spending nearly equal to the plan's minimum Floor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</si>
  <si>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just below the Floor — the plan already supporting more than you were asking for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</si>
  <si>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well below the Floor — spending significantly less than the plan's minimum capacity — and you raised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</si>
  <si>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well below the Floor — spending significantly less than the plan's minimum capacity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</si>
  <si>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 SCREEN 3 — R2.A AUTHORED COPY · 11 sub-zones × 2 cards × 3 Market Conditions = 66 string variants · Captain inline review · 'The Shape you've Discovered' (HAVE) mirrors 'The Shape you've Designed' (WANT) · Phase 2.5 voice richness preserved · Market Conditions woven plain-speak · sub-zone nuance honored · Studio callouts stripped (R2.B territory)</t>
  </si>
  <si>
    <t>LEGEND · stObj2.name + '-' + stObj2.subZone = the 11 keys · Template vars: {dDatumK}/{dDatumM}/{dCeilK}/{dCeilM}/{dFloorK}/{dFloorM} for HAVE (from ptsEnd) · {gbDatumK}/{gbDatumM}/{gbCeilK}/{gbCeilM}/{gbFloorK}/{gbFloorM} for WANT (from gbEnd) · M values inline-slash format from fvBase/fvUp/fvCon · Market Conditions toggle: Average / Stressed / Optimistic</t>
  </si>
  <si>
    <t>Sub-Zone Key</t>
  </si>
  <si>
    <t>Card</t>
  </si>
  <si>
    <t>Market Conditions</t>
  </si>
  <si>
    <t>Authored Copy</t>
  </si>
  <si>
    <t>OVEREXTENDED-STRUCTURAL</t>
  </si>
  <si>
    <t>HAVE</t>
  </si>
  <si>
    <t>Average</t>
  </si>
  <si>
    <t>Stressed</t>
  </si>
  <si>
    <t>Optimistic</t>
  </si>
  <si>
    <t>WANT</t>
  </si>
  <si>
    <t>OVEREXTENDED-ENTRY</t>
  </si>
  <si>
    <t>STRETCHED-HIGH_END</t>
  </si>
  <si>
    <t>STRETCHED-STANDARD</t>
  </si>
  <si>
    <t>EXPANSIVE-CEILING_SIDE</t>
  </si>
  <si>
    <t>EXPANSIVE-CENTERED</t>
  </si>
  <si>
    <t>EXPANSIVE-FLOOR_SIDE</t>
  </si>
  <si>
    <t>GROUNDED-STABLE</t>
  </si>
  <si>
    <t>GROUNDED-TIGHT</t>
  </si>
  <si>
    <t>ABUNDANT-JUST_BELOW</t>
  </si>
  <si>
    <t>ABUNDANT-WELL_BELOW</t>
  </si>
  <si>
    <t>THE SHAPE YOU HAVE: OVEREXTENDED
You're looking at your current Shape under average market conditions — the middle-of-the-road path where returns come in roughly as the long-term record suggests. On that path, supporting your Datum spending of {dDatumK}/yr would require your portfolio to reach about {dDatumM} by retirement.
The plan stretches to two outer edges:
  ↑ Ceiling — {dCeilK}/yr ({dCeilM} total). The most the plan can structurally carry.
  ↓ Floor — {dFloorK}/yr ({dFloorM} total). The downside line if markets disappoint.
Your spending target sits significantly above the Ceiling — meaningfully above what this portfolio can structurally support. This is a stress-test, not a plan state. The question isn't whether this works today — it doesn't — it's what would need to change for it to work.</t>
  </si>
  <si>
    <t>THE SHAPE YOU HAVE: OVEREXTENDED
You're looking at your current Shape under stressed market conditions — the tougher path where returns come in worse than the long-term average across your timeline. Under that path, supporting your Datum spending of {dDatumK}/yr would require your portfolio to reach about {dDatumM} by retirement.
Even under stress, the plan reaches to two outer edges:
  ↑ Ceiling — {dCeilK}/yr ({dCeilM} total). The most the plan can structurally carry in tougher conditions.
  ↓ Floor — {dFloorK}/yr ({dFloorM} total). The protected downside line.
Your spending target sits significantly above the Ceiling — and under stress that gap widens. This Shape doesn't hold; in tougher markets it breaks faster. Something has to change before this can carry.</t>
  </si>
  <si>
    <t>THE SHAPE YOU HAVE: OVEREXTENDED
You're looking at your current Shape under optimistic market conditions — the favorable path where returns come in above the long-term average across your timeline. On that path, supporting your Datum spending of {dDatumK}/yr would require your portfolio to reach about {dDatumM} by retirement.
The plan reaches to two outer edges:
  ↑ Ceiling — {dCeilK}/yr ({dCeilM} total). The upper edge even when markets cooperate.
  ↓ Floor — {dFloorK}/yr ({dFloorM} total). The protected downside line.
Even under optimistic conditions, your spending target sits significantly above the Ceiling. Favorable markets aren't enough to close this gap — the structural shortfall is too large. Something fundamental has to change.</t>
  </si>
  <si>
    <t>THE SHAPE YOU WANT: OVEREXTENDED
The Shape you've designed under average market conditions would require your portfolio to reach about {gbDatumM} by retirement to support your designed Datum of {gbDatumK}/yr.
At those designed boundaries, this Shape would need:
  ↑ Ceiling — {gbCeilK}/yr ({gbCeilM} total). The upper edge you've set.
  ↓ Floor — {gbFloorK}/yr ({gbFloorM} total). The downside line you've drawn.
Your designed spending sits significantly above your designed Ceiling — meaningfully above what this portfolio can structurally support. This is a stress-test of intent, not a plan state. The question isn't whether this works — it doesn't — it's what would need to move for it to work.</t>
  </si>
  <si>
    <t>THE SHAPE YOU WANT: OVEREXTENDED
The Shape you've designed under stressed market conditions would require your portfolio to reach about {gbDatumM} by retirement to support your designed Datum of {gbDatumK}/yr — even when returns come in worse than average.
Under that tougher path, your designed boundaries would be:
  ↑ Ceiling — {gbCeilK}/yr ({gbCeilM} total). The upper edge even under stress.
  ↓ Floor — {gbFloorK}/yr ({gbFloorM} total). The downside line you've drawn.
Your designed spending sits significantly above your designed Ceiling — and stress widens that gap further. This Shape doesn't hold under tougher markets. Something fundamental has to shift before it can carry.</t>
  </si>
  <si>
    <t>THE SHAPE YOU WANT: OVEREXTENDED
The Shape you've designed under optimistic market conditions would require your portfolio to reach about {gbDatumM} by retirement to support your designed Datum of {gbDatumK}/yr — when conditions cooperate.
On that favorable path, your designed boundaries would be:
  ↑ Ceiling — {gbCeilK}/yr ({gbCeilM} total). The upper edge when markets deliver.
  ↓ Floor — {gbFloorK}/yr ({gbFloorM} total). The downside line you've drawn.
Even if markets cooperate, your designed spending sits significantly above your designed Ceiling. Favorable conditions aren't enough to close this gap — the structural shortfall is too wide. Something fundamental has to move.</t>
  </si>
  <si>
    <t>THE SHAPE YOU HAVE: OVEREXTENDED
You're looking at your current Shape under average market conditions — the middle-of-the-road path where returns come in roughly as the long-term record suggests. On that path, supporting your Datum spending of {dDatumK}/yr would require your portfolio to reach about {dDatumM} by retirement.
The plan stretches to two outer edges:
  ↑ Ceiling — {dCeilK}/yr ({dCeilM} total). The most the plan can structurally carry.
  ↓ Floor — {dFloorK}/yr ({dFloorM} total). The downside line if markets disappoint.
Your spending target sits just above the Ceiling — you've crossed the line, but only narrowly. This isn't a deep structural break yet; it's the entry zone where the plan starts to depend on things going better than expected. Small adjustments now keep small things small.</t>
  </si>
  <si>
    <t>THE SHAPE YOU HAVE: OVEREXTENDED
You're looking at your current Shape under stressed market conditions — the tougher path where returns come in worse than the long-term average across your timeline. Under that path, supporting your Datum spending of {dDatumK}/yr would require your portfolio to reach about {dDatumM} by retirement.
Even under stress, the plan reaches to two outer edges:
  ↑ Ceiling — {dCeilK}/yr ({dCeilM} total). The most the plan can structurally carry under stress.
  ↓ Floor — {dFloorK}/yr ({dFloorM} total). The protected downside line.
Your spending target sits just above the Ceiling — and under stress, that narrow gap matters more. You're in the entry zone, where the plan starts depending on favorable conditions. Worth addressing while the move required is still small.</t>
  </si>
  <si>
    <t>THE SHAPE YOU HAVE: OVEREXTENDED
You're looking at your current Shape under optimistic market conditions — the favorable path where returns come in above the long-term average across your timeline. On that path, supporting your Datum spending of {dDatumK}/yr would require your portfolio to reach about {dDatumM} by retirement.
The plan reaches to two outer edges:
  ↑ Ceiling — {dCeilK}/yr ({dCeilM} total). The upper edge when markets cooperate.
  ↓ Floor — {dFloorK}/yr ({dFloorM} total). The protected downside line.
Even under optimistic conditions, your spending target sits just above the Ceiling. You've narrowly crossed the line, but you're relying on favorable markets to make it work. That's a thin reed. Worth knowing this is the entry zone — the threshold where the plan stops carrying you on its own.</t>
  </si>
  <si>
    <t>THE SHAPE YOU WANT: OVEREXTENDED
The Shape you've designed under average market conditions would require your portfolio to reach about {gbDatumM} by retirement to support your designed Datum of {gbDatumK}/yr.
At those designed boundaries, this Shape would need:
  ↑ Ceiling — {gbCeilK}/yr ({gbCeilM} total). The upper edge you've set.
  ↓ Floor — {gbFloorK}/yr ({gbFloorM} total). The downside line you've drawn.
Your designed spending sits just above your designed Ceiling — you've narrowly stepped over the line. This is the entry zone, not a structural break. The plan starts depending on favorable conditions here. Small moves still produce small fixes — worth doing while that's true.</t>
  </si>
  <si>
    <t>THE SHAPE YOU WANT: OVEREXTENDED
The Shape you've designed under stressed market conditions would require your portfolio to reach about {gbDatumM} by retirement to support your designed Datum of {gbDatumK}/yr — even when returns come in worse than average.
Under that tougher path, your designed boundaries would be:
  ↑ Ceiling — {gbCeilK}/yr ({gbCeilM} total). The upper edge under stress.
  ↓ Floor — {gbFloorK}/yr ({gbFloorM} total). The downside line you've drawn.
Your designed spending sits just above your designed Ceiling — and under stress, the entry zone matters more. The plan depends on conditions that may not arrive. Worth resolving while the required adjustment is still small.</t>
  </si>
  <si>
    <t>THE SHAPE YOU WANT: OVEREXTENDED
The Shape you've designed under optimistic market conditions would require your portfolio to reach about {gbDatumM} by retirement to support your designed Datum of {gbDatumK}/yr — when conditions cooperate.
On that favorable path, your designed boundaries would be:
  ↑ Ceiling — {gbCeilK}/yr ({gbCeilM} total). The upper edge when markets deliver.
  ↓ Floor — {gbFloorK}/yr ({gbFloorM} total). The downside line you've drawn.
Even under optimistic conditions, your designed spending sits just above your designed Ceiling. You've crossed the line by a hair — relying on favorable markets to keep things working. That's a thin reed. The entry zone is where small choices still produce small fixes.</t>
  </si>
  <si>
    <t>THE SHAPE YOU HAVE: STRETCHED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right up against the Ceiling — the plan reaches this lifestyle, but mostly when markets cooperate. Good years are doing nearly all the heavy lifting. The margin above is thin, and any disappointment lands more directly on you.</t>
  </si>
  <si>
    <t>THE SHAPE YOU HAVE: STRETCHED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right up against the Ceiling — and under stress, that ceiling drops. The plan is pulling everything it can to carry this lifestyle, with almost nothing held back. This Shape works only when conditions hold together. Worth knowing where the line is when they don't.</t>
  </si>
  <si>
    <t>THE SHAPE YOU HAVE: STRETCHED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right up against the Ceiling — even under optimistic conditions. Favorable markets are what makes this Shape work, not what makes it comfortable. The good news is the plan reaches this lifestyle. The harder news is you've used most of the room.</t>
  </si>
  <si>
    <t>THE SHAPE YOU WANT: STRETCHED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right up against your designed Ceiling — the plan reaches this lifestyle, but mostly when markets cooperate. Good years would be doing nearly all the heavy lifting. The margin above is thin by design — worth knowing whether that thinness is intended or accidental.</t>
  </si>
  <si>
    <t>THE SHAPE YOU WANT: STRETCHED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right up against your designed Ceiling — and under stress that gap closes further. This Shape pulls everything it can; almost nothing held back. It works only when conditions hold together. Worth confirming whether that's the trade-off you intended.</t>
  </si>
  <si>
    <t>THE SHAPE YOU WANT: STRETCHED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Even under optimistic conditions, your designed spending sits right up against your designed Ceiling. Favorable markets are what makes this Shape reach, not what makes it comfortable. You've used most of the room available — worth knowing that's by design.</t>
  </si>
  <si>
    <t>THE SHAPE YOU HAVE: STRETCHED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in the upper part of the supported range — the plan carries this lifestyle, but with less margin than a more centered position would give you. Good years are doing more of the heavy lifting now. You haven't crossed into trouble, but the buffer above is leaner.</t>
  </si>
  <si>
    <t>THE SHAPE YOU HAVE: STRETCHED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in the upper part of the supported range — and stress narrows that range. The plan still carries this lifestyle in tougher markets, but with less room to absorb surprises. Worth watching how the margin moves as conditions shift.</t>
  </si>
  <si>
    <t>THE SHAPE YOU HAVE: STRETCHED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in the upper part of the supported range — even under optimistic conditions. The good news: the plan handles this comfortably when markets deliver. The honest read: you're closer to the upper edge than a centered position would put you.</t>
  </si>
  <si>
    <t>THE SHAPE YOU WANT: STRETCHED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in the upper part of the supported range — the plan carries it, but with less margin than a more centered position would give. Good years would do more of the heavy lifting. Worth knowing whether that leaner buffer is the trade-off you intended.</t>
  </si>
  <si>
    <t>THE SHAPE YOU WANT: STRETCHED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in the upper part of the supported range — and under stress the range narrows. The plan still holds, but with less room to absorb surprises. Worth confirming that's the margin you want operating under tougher conditions.</t>
  </si>
  <si>
    <t>THE SHAPE YOU WANT: STRETCHED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Your designed spending sits in the upper part of the supported range — even under optimistic conditions. The plan handles this comfortably when markets cooperate, but you're closer to the upper edge than a centered design would put you. Worth knowing that's intentional.</t>
  </si>
  <si>
    <t>THE SHAPE YOU HAVE: EXPANSIVE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in the upper portion of the supported range. Good years are doing more of the heavy lifting — the plan reaches this lifestyle, but the Ceiling is closer than it was. You haven't left EXPANSIVE territory, but you've traded some of the buffer that makes a more centered position comfortable.</t>
  </si>
  <si>
    <t>THE SHAPE YOU HAVE: EXPANSIVE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in the upper portion of the supported range — and under stress, the Ceiling is even closer. You're still inside EXPANSIVE, but the buffer above is real and worth watching. The number where the plan starts depending on things going well — that's the boundary worth knowing.</t>
  </si>
  <si>
    <t>THE SHAPE YOU HAVE: EXPANSIVE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in the upper portion of the supported range — even when conditions cooperate. You're well inside EXPANSIVE, but closer to the Ceiling than to the Floor. The plan carries this lifestyle comfortably under favorable markets; the position is more about how much room you want than whether the plan holds.</t>
  </si>
  <si>
    <t>THE SHAPE YOU WANT: EXPANSIVE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in the upper portion of your designed range. Good years would do more of the heavy lifting. You're still inside EXPANSIVE, but you've placed yourself closer to the Ceiling than the Floor — worth knowing whether that proximity is the trade-off you intended.</t>
  </si>
  <si>
    <t>THE SHAPE YOU WANT: EXPANSIVE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in the upper portion of your designed range — and under stress, the Ceiling is closer still. The Shape holds inside EXPANSIVE, but the buffer above is leaner. Worth confirming that's the position you want when conditions don't cooperate.</t>
  </si>
  <si>
    <t>THE SHAPE YOU WANT: EXPANSIVE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Your designed spending sits in the upper portion of your designed range — even under optimistic conditions. You're inside EXPANSIVE, closer to the Ceiling than the Floor. The plan handles this comfortably when markets cooperate; the question is how much headroom you actually want.</t>
  </si>
  <si>
    <t>THE SHAPE YOU HAVE: EXPANSIVE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squarely in the middle of what the plan can support. Neither edge is close, and the plan works across most futures. The range is wide because real-world variables aren't fully modeled yet. Right now outcomes are roughly balanced around your target — neither pressing toward stress nor accumulating obvious surplus.</t>
  </si>
  <si>
    <t>THE SHAPE YOU HAVE: EXPANSIVE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squarely in the middle of the supported range. Even under stress, neither edge is close — the plan works across most tougher futures. This is the position where the plan absorbs surprises most easily; outcomes stay roughly balanced around your target.</t>
  </si>
  <si>
    <t>THE SHAPE YOU HAVE: EXPANSIVE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squarely in the middle of the supported range — even under optimistic conditions. Neither edge is close; the plan works across most favorable futures. This is the position with the most flexibility — outcomes stay roughly balanced regardless of which way conditions break.</t>
  </si>
  <si>
    <t>THE SHAPE YOU WANT: EXPANSIVE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squarely in the middle of your designed range. Neither edge is close, and the plan works across most futures around it. This is where the plan runs most freely — outcomes balanced around your target, with room to absorb surprises in either direction.</t>
  </si>
  <si>
    <t>THE SHAPE YOU WANT: EXPANSIVE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squarely in the middle of your designed range — and even under stress, neither edge is close. This is the position where the plan absorbs tougher conditions most easily. Outcomes stay roughly balanced around your target.</t>
  </si>
  <si>
    <t>THE SHAPE YOU WANT: EXPANSIVE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Your designed spending sits squarely in the middle of your designed range — even under optimistic conditions. This is the position with the most flexibility — neither edge pressing, plan running freely, outcomes balanced regardless of which way markets break.</t>
  </si>
  <si>
    <t>THE SHAPE YOU HAVE: EXPANSIVE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in the lower portion of the supported range — closer to the Floor than the Ceiling, with substantial Ceiling headroom above. You're well inside EXPANSIVE; the plan carries this lifestyle comfortably, and there's a lot of capacity above your target that the plan can support and you're not using.</t>
  </si>
  <si>
    <t>THE SHAPE YOU HAVE: EXPANSIVE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in the lower portion of the supported range — closer to the Floor than the Ceiling. Even under stress, the plan carries this lifestyle comfortably, with substantial unused Ceiling capacity above. Whether that capacity is buffer or surplus is worth naming.</t>
  </si>
  <si>
    <t>THE SHAPE YOU HAVE: EXPANSIVE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in the lower portion of the supported range — even under optimistic conditions. There's substantial Ceiling headroom above that the plan can support and you're not using. Worth knowing what that headroom represents: buffer, future flexibility, or capacity you've chosen to leave unclaimed.</t>
  </si>
  <si>
    <t>THE SHAPE YOU WANT: EXPANSIVE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in the lower portion of your designed range — closer to the Floor than the Ceiling. There's meaningful capacity above your target that the plan can support and you're not using. Whether that's by design or by default is worth knowing — buffer against rough sequences, room for an earlier retirement, or something to leave behind.</t>
  </si>
  <si>
    <t>THE SHAPE YOU WANT: EXPANSIVE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in the lower portion of your designed range. Even under stress, the plan carries this lifestyle comfortably — substantial Ceiling capacity remains above. Worth naming what that capacity is doing for you in tougher conditions.</t>
  </si>
  <si>
    <t>THE SHAPE YOU WANT: EXPANSIVE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Your designed spending sits in the lower portion of your designed range — even under optimistic conditions. Substantial Ceiling capacity sits above unused. Worth naming what that surplus represents: earlier retirement, larger legacy, or stronger resilience against what the Sketch doesn't model.</t>
  </si>
  <si>
    <t>THE SHAPE YOU HAVE: GROUNDED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squarely between the Floor and the Ceiling — well-supported by what the plan can deliver. The plan carries this lifestyle even under stress, with meaningful room still above before conditions start to matter. Outcomes are roughly balanced around your target.</t>
  </si>
  <si>
    <t>THE SHAPE YOU HAVE: GROUNDED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squarely between the Floor and the Ceiling — even under stress, the plan carries this lifestyle. This is what the Shape looks like when conditions don't cooperate: still supported, still anchored, with margin on both sides.</t>
  </si>
  <si>
    <t>THE SHAPE YOU HAVE: GROUNDED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squarely between the Floor and the Ceiling — well-supported when conditions cooperate. The plan carries this lifestyle with substantial room to spare. The position is comfortable; the question becomes what the headroom above is for.</t>
  </si>
  <si>
    <t>THE SHAPE YOU WANT: GROUNDED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The plan covers your designed spending even in a bad scenario — and there's real room above before things get tight. You're in a safe position, but safe has a cost: there's meaningful capacity above your target that the plan can support and you're not using. Whether that's by design or by default is worth knowing.</t>
  </si>
  <si>
    <t>THE SHAPE YOU WANT: GROUNDED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Even under stress, the plan covers your designed spending — with room above before things get tight. This is a resilient Shape: anchored between margins on both sides, intentional rather than accidental. Worth confirming the headroom above is doing what you want it to do.</t>
  </si>
  <si>
    <t>THE SHAPE YOU WANT: GROUNDED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Under optimistic conditions, this Shape sits comfortably between margins — the plan covers your designed spending with substantial room above. The position is well-protected; the question is whether the headroom is buffer you want or capacity you've chosen not to use.</t>
  </si>
  <si>
    <t>THE SHAPE YOU HAVE: GROUNDED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between the Floor and the Ceiling — but closer to the Floor than a more centered position would put you. The plan still carries this lifestyle, but the cushion between your spending and the downside line is thinner than it could be. Worth knowing where that line is and how much room separates you from it.</t>
  </si>
  <si>
    <t>THE SHAPE YOU HAVE: GROUNDED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between the edges, but closer to the Floor — and under stress, that gap matters more. The plan still carries this lifestyle, but the buffer below is thin. This is still a supported position; the cushion that protects you is just narrower than it could be.</t>
  </si>
  <si>
    <t>THE SHAPE YOU HAVE: GROUNDED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between the edges, but closer to the Floor — even when conditions cooperate. The plan handles this comfortably under favorable markets; the position is more conservative than centered, with a thinner cushion below than above.</t>
  </si>
  <si>
    <t>THE SHAPE YOU WANT: GROUNDED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between the edges, but you've placed it closer to the Floor than a centered position would. The plan still covers this Shape, but the cushion below is leaner by design. Worth knowing whether that tighter buffer is the trade-off you intended — or whether centering would feel better.</t>
  </si>
  <si>
    <t>THE SHAPE YOU WANT: GROUNDED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between the edges, but closer to the Floor — and under stress, that gap is what protects you. The plan still holds, but the cushion is thinner than it could be. Worth confirming you want this proximity to the downside line operating under tougher conditions.</t>
  </si>
  <si>
    <t>THE SHAPE YOU WANT: GROUNDED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Under optimistic conditions, your designed spending sits between the edges but closer to the Floor than a centered design would put it. The plan handles this comfortably; the position is more conservative than centered, with leaner buffer below than above. Worth knowing that's intentional.</t>
  </si>
  <si>
    <t>THE SHAPE YOU HAVE: ABUNDANT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just below the Floor — you're at or near the most conservative line the plan models. The plan supports this lifestyle even in its bad scenario, with substantial capacity above. There's meaningful room you're not using; whether that's deliberate conservatism or accidental headroom is worth knowing.</t>
  </si>
  <si>
    <t>THE SHAPE YOU HAVE: ABUNDANT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just below the Floor — even under stress, the plan supports this lifestyle. You're operating at the conservative line by choice. Substantial capacity above is intact even in tougher markets. Worth naming what that resilience is doing for you.</t>
  </si>
  <si>
    <t>THE SHAPE YOU HAVE: ABUNDANT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just below the Floor — and even under optimistic conditions, the gap above represents substantial capacity unused. Whether that's a deliberate conservative anchor or capacity worth reconsidering depends on what the surplus is meant to do.</t>
  </si>
  <si>
    <t>THE SHAPE YOU WANT: ABUNDANT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just below your designed Floor — at or near the conservative line. The plan has meaningful room above this Datum. That surplus is a choice — buffer against rough sequences, room for an earlier retirement, or capital to leave behind. Naming it makes it intentional rather than accidental.</t>
  </si>
  <si>
    <t>THE SHAPE YOU WANT: ABUNDANT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just below your designed Floor — even under stress, the plan supports this lifestyle. The capacity above stays meaningful in tougher conditions. Worth naming what that resilience is built for: stress protection, future flexibility, or intentional restraint.</t>
  </si>
  <si>
    <t>THE SHAPE YOU WANT: ABUNDANT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Under optimistic conditions, your designed spending sits just below your designed Floor — and the unused capacity above grows. Whether that surplus represents a deliberate conservative anchor or capacity worth reconsidering depends on what you want it doing in years of earlier retirement, larger legacy, or stronger stress resilience.</t>
  </si>
  <si>
    <t>THE SHAPE YOU HAVE: ABUNDANT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well below the Floor — you're asking for substantially less than the plan is built to deliver. The plan has substantial room above this Datum, and that surplus is a choice. Whether by design or by default, it represents capacity in years of earlier retirement, larger legacy, or stronger stress resilience.</t>
  </si>
  <si>
    <t>THE SHAPE YOU HAVE: ABUNDANT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well below the Floor — even under stress, the plan supports far more than you're asking for. That substantial unused capacity is robust to tougher conditions. The question becomes what that resilience is doing: insurance, optionality, or accidental restraint.</t>
  </si>
  <si>
    <t>THE SHAPE YOU HAVE: ABUNDANT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well below the Floor — and under optimistic conditions, the unused capacity widens further. You're asking for substantially less than the plan can carry. Whether that gap represents deliberate conservatism or unclaimed capacity is worth naming so it's intentional.</t>
  </si>
  <si>
    <t>THE SHAPE YOU WANT: ABUNDANT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well below your designed Floor — you're asking for substantially less than the plan is built to deliver. That surplus is a choice — buffer against rough sequences, room for an earlier retirement, or capital to leave behind. Naming it makes it intentional rather than accidental.</t>
  </si>
  <si>
    <t>THE SHAPE YOU WANT: ABUNDANT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well below your designed Floor — even under stress, the plan carries far more than you're asking for. That substantial unused capacity is robust to tougher conditions. Worth naming what that resilience is built for: stress protection, future optionality, or intentional restraint.</t>
  </si>
  <si>
    <t>THE SHAPE YOU WANT: ABUNDANT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Under optimistic conditions, your designed spending sits well below your designed Floor — and the unused capacity widens further. Studio can show whether that surplus represents a deliberate conservative anchor or capacity worth reconsidering — in years of earlier retirement, larger legacy, or stronger stress resilience.</t>
  </si>
  <si>
    <t>SCREEN 3 — R2.B TENSION SCAFFOLD · Card 4 "How to Resolve the Tension" · Conditional 3rd-lever scenario routing + prose templates</t>
  </si>
  <si>
    <t>DOCTRINE: Card 4 always fires 3 tension levers. Lever 1 (Capital delta) + Lever 2 (Most Impactful Lever) ALWAYS fire. Lever 3 = conditional scenario routing — whichever delta scores highest in normalized tension intensity fires as active 3rd lever. PARADOX scenarios are PRIORITY OVERRIDES. STATIC-DESIGN is the no-movement fallback. Each scenario unlocks a SURGICAL Studio handoff — not generic 10,000-sequence pitch.</t>
  </si>
  <si>
    <t>SECTION A — SCENARIO ROUTING MATRIX (10 scenarios · trigger conditions · priority flags · data requirements)</t>
  </si>
  <si>
    <t>Scenario Key</t>
  </si>
  <si>
    <t>Priority</t>
  </si>
  <si>
    <t>Trigger Condition (plain-speak)</t>
  </si>
  <si>
    <t>Data Source / Delta Formula</t>
  </si>
  <si>
    <t>Tension Intensity Score</t>
  </si>
  <si>
    <t>What This Reveals to User</t>
  </si>
  <si>
    <t>Studio Handoff Hook</t>
  </si>
  <si>
    <t>PARADOX-STRUCTURAL</t>
  </si>
  <si>
    <t>OVERRIDE-1</t>
  </si>
  <si>
    <t>WANT shape lands in OVEREXTENDED-STRUCTURAL (overRatio ≥ 0.15) — Datum significantly above what plan can structurally carry</t>
  </si>
  <si>
    <t>stObj2.name === 'OVEREXTENDED' AND stObj2.subZone === 'STRUCTURAL'</t>
  </si>
  <si>
    <t>ALWAYS FIRES (100, override)</t>
  </si>
  <si>
    <t>The Shape doesn't structurally hold — this isn't about resolving tension, it's about acknowledging what the plan can't carry as designed</t>
  </si>
  <si>
    <t>Studio shows what would need to change — capital, time, contribution, or Datum — for this Shape to become reachable</t>
  </si>
  <si>
    <t>PARADOX-TIGHT</t>
  </si>
  <si>
    <t>OVERRIDE-2</t>
  </si>
  <si>
    <t>WANT shape lands in GROUNDED-TIGHT (groundRatio &lt; 0.05) — Datum sits at the Floor with zero buffer</t>
  </si>
  <si>
    <t>stObj2.name === 'GROUNDED' AND stObj2.subZone === 'TIGHT'</t>
  </si>
  <si>
    <t>ALWAYS FIRES (95, override)</t>
  </si>
  <si>
    <t>Your designed Datum sits at the Floor. Plan still supports it, but you've designed away the buffer that protects against real-world variance</t>
  </si>
  <si>
    <t>Studio stress-tests whether a buffer-less Shape actually holds across the market sequences the Sketch can't model</t>
  </si>
  <si>
    <t>TIME-SHIFT</t>
  </si>
  <si>
    <t>CONDITIONAL</t>
  </si>
  <si>
    <t>User moved retirement age by ≥1 year vs current scenario baseline</t>
  </si>
  <si>
    <t>abs(_d2LastScenario.retireAge - currentScenario.retireAge) ≥ 1</t>
  </si>
  <si>
    <t>abs(years_delta) × 20 (capped at 100)</t>
  </si>
  <si>
    <t>You're targeting this Shape N years earlier/later than your current retirement date — bridge years and timing pressure layered on top of the dollar gap</t>
  </si>
  <si>
    <t>Studio models bridge spending, Roth conversion windows, and Social Security claiming — the WHEN levers your shifted retirement requires</t>
  </si>
  <si>
    <t>CONTRIBUTION-SHIFT</t>
  </si>
  <si>
    <t>User moved annual contribution materially (≥10% delta vs current scenario)</t>
  </si>
  <si>
    <t>abs((_d2LastScenario.contrib - currentScenario.contrib) / currentScenario.contrib) ≥ 0.10</t>
  </si>
  <si>
    <t>abs(contrib_delta_pct) × 100 (capped at 100)</t>
  </si>
  <si>
    <t>You're betting on contributing $X more/less per year between now and retirement — savings discipline becomes a load-bearing assumption</t>
  </si>
  <si>
    <t>Studio stress-tests whether your designed savings rate holds across career disruptions, account caps, and tax-advantaged sequencing</t>
  </si>
  <si>
    <t>CAPITAL-SHIFT</t>
  </si>
  <si>
    <t>User moved starting portfolio capital ≥5% vs current scenario</t>
  </si>
  <si>
    <t>abs((_d2LastScenario.portfolioVol - currentScenario.portfolioVol) / currentScenario.portfolioVol) ≥ 0.05</t>
  </si>
  <si>
    <t>abs(capital_delta_pct) × 80 (capped at 100)</t>
  </si>
  <si>
    <t>You're modeling $X more/less in already-invested capital than you have today — the Shape depends on a starting point that isn't your current reality</t>
  </si>
  <si>
    <t>Studio models how that capital actually lands — what's already invested, what depends on contributions, how account types reshape it</t>
  </si>
  <si>
    <t>FLOOR-RISK-SHIFT</t>
  </si>
  <si>
    <t>Designed Floor crossed BELOW current Floor by meaningful margin (user accepted more downside risk)</t>
  </si>
  <si>
    <t>(gbEnd.fvCon - ptsEnd.fvCon) &lt; -threshold (e.g., -$50k)</t>
  </si>
  <si>
    <t>abs(floor_drop_pct) × 90 (capped at 100)</t>
  </si>
  <si>
    <t>You accepted $X/yr less protection on the downside — Floor moved down, meaning the worst-case scenario now supports less than your current Shape provides</t>
  </si>
  <si>
    <t>Studio shows what your accepted downside actually looks like across 10,000 market sequences — where the new Floor holds, where it doesn't</t>
  </si>
  <si>
    <t>CEILING-REACH-SHIFT</t>
  </si>
  <si>
    <t>Designed Ceiling pushed ABOVE current Ceiling by meaningful margin (user stretched upside)</t>
  </si>
  <si>
    <t>(gbEnd.fvUp - ptsEnd.fvUp) &gt; threshold (e.g., +$100k)</t>
  </si>
  <si>
    <t>abs(ceiling_reach_pct) × 70 (capped at 100)</t>
  </si>
  <si>
    <t>You stretched the upper edge by $X/yr — that reach requires markets to cooperate more often than your current Shape needs them to</t>
  </si>
  <si>
    <t>Studio shows how often that Ceiling actually gets reached across real market sequences — and what conditions have to align for it</t>
  </si>
  <si>
    <t>STATE-TRANSITION</t>
  </si>
  <si>
    <t>Top-level state changed between HAVE and WANT (e.g., GROUNDED → EXPANSIVE)</t>
  </si>
  <si>
    <t>stObj1.name !== stObj2.name</t>
  </si>
  <si>
    <t>60 (fixed — meaningful structural reframe)</t>
  </si>
  <si>
    <t>You moved from one structural Shape category to another — not a position shift within a state, but a different relationship to what the plan supports</t>
  </si>
  <si>
    <t>Studio names what crossing that state boundary actually requires — capital, contribution discipline, or time — and whether the new state holds under stress</t>
  </si>
  <si>
    <t>SUB-ZONE-DRIFT</t>
  </si>
  <si>
    <t>Same top-level state but sub-zone shifted (e.g., EXP-CENTERED → EXP-CEILING_SIDE)</t>
  </si>
  <si>
    <t>stObj1.name === stObj2.name AND stObj1.subZone !== stObj2.subZone</t>
  </si>
  <si>
    <t>40 (fixed — position shift within state)</t>
  </si>
  <si>
    <t>Same state, different posture — you haven't left the structural category but you've traded buffer for reach (or vice versa) within it</t>
  </si>
  <si>
    <t>Studio shows whether that traded buffer matters — across market sequences, account types, and the variables the Sketch doesn't model</t>
  </si>
  <si>
    <t>STATIC-DESIGN</t>
  </si>
  <si>
    <t>FALLBACK</t>
  </si>
  <si>
    <t>User moved nothing materially — all deltas below thresholds, designed Shape ≈ current Shape</t>
  </si>
  <si>
    <t>ALL other scenarios scored &lt; threshold AND state+sub-zone unchanged</t>
  </si>
  <si>
    <t>FIRES IF ALL OTHERS BELOW THRESHOLD</t>
  </si>
  <si>
    <t>Your designed Shape is essentially your current Shape. Tension here isn't between two futures — it's between what the Sketch can draw and what actually holds when real conditions arrive</t>
  </si>
  <si>
    <t>SECTION B — CARD 4 PROSE TEMPLATES (10 scenarios · forceful · tension-aware · surgical Studio handoff · Accept/Push close)</t>
  </si>
  <si>
    <t>Prose structure per scenario: TITLE + OPENER (tension framing) + 3 LEVERS (Capital ALWAYS + Most Impactful Lever ALWAYS + Active 3rd Scenario Lever) + STUDIO HANDOFF (surgical to scenario) + ACCEPT/PUSH CLOSE + CTA. Template vars: {capDeltaM} {capCurM} {capTgtM} {levName} {levAmt} {levPct} {scenSpecific*} — see notes column for each scenario's specific vars.</t>
  </si>
  <si>
    <t>Card 4 Prose (forceful · tension-aware · Accept/Push close)</t>
  </si>
  <si>
    <t>Scenario-Specific Template Vars</t>
  </si>
  <si>
    <t>Studio Handoff Hook Source</t>
  </si>
  <si>
    <t>Voice Anchor Notes</t>
  </si>
  <si>
    <t>HOW TO RESOLVE THE TENSION
⚠️ This isn't tension to resolve — it's structure that doesn't hold.
The Shape you've designed asks the plan to carry more than it structurally can. That's not a market-conditions problem and it's not a discipline problem. It's a math problem.
The three forces, named honestly:
  • CAPITAL — Your designed Shape requires {gbDatumM} by retirement. Your current Shape projects {dDatumM}. That's a gap of {capDeltaM} the sketch numbers don't reach — and the structural ratio puts the Datum significantly above what {gbDatumM} can sustainably support.
  • LEVER — The single biggest force in that gap is {levName} ({levAmtSigned}, {levPct}% of the move). But moving any one lever alone won't close this — the Shape is over the structural line, not just stretched toward it.
  • REALITY — This is a stress-test, not a plan state. You can see what the Shape would require, but you can't live inside it as currently designed.
This is the moment the Sketch can only tell you what isn't possible. It draws the envelope; it can't show you what would need to change for this Shape to become reachable.
Studio shows that — exactly which combination of capital, time, contribution, or Datum would need to move, and by how much, to bring this Shape inside the structural line. Not whether to push for it. What pushing would actually require.
The question is honest:
Do you accept the Shape you have, or do you want to know what reaching this designed Shape actually costs?
See If This Shape Holds →</t>
  </si>
  <si>
    <t>{gbDatumM} {dDatumM} {capDeltaM} {levName} {levAmtSigned} {levPct}</t>
  </si>
  <si>
    <t>Studio surgical pitch: 'exactly which combination would need to move, and by how much'</t>
  </si>
  <si>
    <t>⚠️ glyph + 'stress-test not plan state' (Phase 2.5 voice) + 'math problem' framing + 'can only tell you what isn't possible' as Studio handoff</t>
  </si>
  <si>
    <t>HOW TO RESOLVE THE TENSION
Your designed Datum sits at the Floor. The plan still supports it — but you've designed away the buffer.
That matters more than it sounds. The buffer between Datum and Floor is what absorbs the real-world variance the Sketch doesn't fully model: a bad sequence in year two of retirement, a healthcare event that wasn't in the projection, a tax-policy shift that compresses the floor.
The three forces in tension:
  • CAPITAL — Your designed Shape requires {gbDatumM} by retirement. Your current Shape projects {dDatumM}. That's a gap of {capDeltaM} between what you have and what this no-buffer Shape needs.
  • LEVER — {levName} accounts for {levPct}% of that gap ({levAmtSigned}). It's the load-bearing variable.
  • BUFFER — You've collapsed the margin between Datum and Floor. The Sketch says the plan still holds. It does — until conditions arrive that the Sketch didn't model.
This is the moment the Sketch runs out of road. It tells you the math works at the Floor. It doesn't tell you what happens when reality lands a few percent below the conservative path.
Studio stress-tests exactly that. It runs your no-buffer Shape across 10,000 sequences and shows you which ones break it — and what restoring even a small buffer would buy you.
The question is honest:
Do you accept a Shape with no margin, or do you want to know what a small buffer actually costs?
See If This Shape Holds →</t>
  </si>
  <si>
    <t>{gbDatumM} {dDatumM} {capDeltaM} {levName} {levPct} {levAmtSigned}</t>
  </si>
  <si>
    <t>Studio surgical pitch: 'which sequences break it · what restoring even a small buffer would buy you'</t>
  </si>
  <si>
    <t>designed away the buffer' + 'real-world variance the Sketch doesn't fully model' + 'load-bearing variable' = tension naming</t>
  </si>
  <si>
    <t>HOW TO RESOLVE THE TENSION
You've designed a Shape your current numbers don't project — and you're trying to land it on a different timeline.
The gap between what you have and what you want is the question. But time changes the conversation.
The three forces in tension:
  • CAPITAL — Your designed Shape requires {gbDatumM} by retirement. Your current Shape projects {dDatumM}. That's {capDeltaM} of capital your sketch numbers don't reach.
  • LEVER — {levName} accounts for {levPct}% of that gap ({levAmtSigned}). It's the single biggest driver.
  • TIME — You're targeting this Shape {yearsDeltaAbs} years {yearsDeltaDir} than your current retirement date. {yearsDeltaAbs} bridge years that the plan has to fund {bridgeContext} before traditional retirement assets become available.
This is the moment the Sketch runs out of road. It draws the envelope; it doesn't know how Roth conversion windows narrow when you retire earlier, what sequence-of-returns risk does to your target if markets disappoint in your bridge years, or how Social Security claiming timing reshapes the floor when you delay or pull forward.
Studio models bridge spending, Roth conversion windows, and Social Security claiming — the WHEN levers your shifted retirement requires. It runs your actual numbers across 10,000 market sequences and shows which lever is most likely to bridge the distance.
The question is honest:
Do you accept what you have, or push for what you want?
See If This Shape Holds →</t>
  </si>
  <si>
    <t>{gbDatumM} {dDatumM} {capDeltaM} {levName} {levPct} {levAmtSigned} {yearsDeltaAbs} {yearsDeltaDir} {bridgeContext}</t>
  </si>
  <si>
    <t>Studio surgical pitch: 'bridge spending, Roth conversion windows, and Social Security claiming — the WHEN levers'</t>
  </si>
  <si>
    <t>targeting this Shape N years earlier' + 'bridge years' as distinct time-axis tension · not redundant to Capital/Lever</t>
  </si>
  <si>
    <t>HOW TO RESOLVE THE TENSION
You've designed a Shape your current contribution rate doesn't fund — and the difference between the two is a decade or more of savings discipline.
The three forces in tension:
  • CAPITAL — Your designed Shape requires {gbDatumM} by retirement. Your current Shape projects {dDatumM}. That's {capDeltaM} the sketch numbers don't reach.
  • LEVER — {levName} accounts for {levPct}% of that gap ({levAmtSigned}).
  • SAVINGS — You're betting on contributing {contribDeltaSigned} per year between now and retirement. {contribDeltaPct} more than your current scenario assumes. Savings discipline becomes a load-bearing assumption for this Shape — every year that contribution doesn't materialize is a year the gap widens.
This is the moment the Sketch runs out of road. It assumes the contribution holds; it doesn't know what happens if your income compresses for two years, if account contribution limits cap out, or if a household event reshuffles priorities.
Studio stress-tests whether your designed savings rate actually holds — across career disruptions, account caps, and the tax-advantaged sequencing decisions that determine whether contributing $X actually buys you $X in retirement spending power.
The question is honest:
Do you accept what you have, or commit to what you want?
See If This Shape Holds →</t>
  </si>
  <si>
    <t>{gbDatumM} {dDatumM} {capDeltaM} {levName} {levPct} {levAmtSigned} {contribDeltaSigned} {contribDeltaPct}</t>
  </si>
  <si>
    <t>Studio surgical pitch: 'career disruptions, account caps, tax-advantaged sequencing'</t>
  </si>
  <si>
    <t>load-bearing assumption' + 'decade or more of savings discipline' · 'commit to' replaces 'push for' (honest verb for savings tension)</t>
  </si>
  <si>
    <t>HOW TO RESOLVE THE TENSION
You've designed a Shape that starts from a different financial position than the one you have today. That's not wrong — but it's worth naming.
The three forces in tension:
  • CAPITAL — Your designed Shape requires {gbDatumM} by retirement. Your current Shape projects {dDatumM}. That's {capDeltaM} the sketch numbers don't reach.
  • LEVER — {levName} accounts for {levPct}% of that gap ({levAmtSigned}).
  • STARTING POINT — You're modeling {capitalDeltaSigned} more in already-invested capital than you actually have right now. The Shape depends on a starting position the sketch can draw but the calendar hasn't reached. Whether that capital comes from a windfall, a sale, an inheritance, or a planned contribution event matters — because each source lands differently.
This is the moment the Sketch runs out of road. It treats capital as a number; it doesn't know what type of account it lands in, whether it's tax-advantaged or taxable, how Roth conversions reshape it, or what sequence risk does to capital that arrives at the wrong moment.
Studio models exactly how that capital lands — what's already invested, what depends on future events, how account types reshape effective spending power, and what timing means for the path between here and there.
The question is honest:
Do you accept what you have, or are you building toward what you want?
See If This Shape Holds →</t>
  </si>
  <si>
    <t>{gbDatumM} {dDatumM} {capDeltaM} {levName} {levPct} {levAmtSigned} {capitalDeltaSigned}</t>
  </si>
  <si>
    <t>Studio surgical pitch: 'what type of account · tax-advantaged or taxable · how Roth conversions reshape it · sequence risk on capital arriving at wrong moment'</t>
  </si>
  <si>
    <t>starting position the sketch can draw but the calendar hasn't reached' = clean tension framing · 'building toward' verb fits capital accumulation</t>
  </si>
  <si>
    <t>HOW TO RESOLVE THE TENSION
You've designed a Shape that accepts more downside than your current Shape carries. The Floor moved. That's a real choice — worth naming.
The three forces in tension:
  • CAPITAL — Your designed Shape requires {gbDatumM} by retirement. Your current Shape projects {dDatumM}. That's {capDeltaM} the sketch numbers don't reach.
  • LEVER — {levName} accounts for {levPct}% of that gap ({levAmtSigned}).
  • DOWNSIDE — You accepted {floorDeltaSigned}/yr less protection on the downside. The Floor — the level the plan supports even when markets disappoint — sits lower than it did. In exchange, the Shape stretches in other directions. That's a trade, not a mistake. But it's a trade with consequences.
This is the moment the Sketch runs out of road. It draws the new Floor; it doesn't show you what happens when reality lands there. Which sequences trigger it. How often. What it actually feels like in the years leading up to it.
Studio stress-tests that accepted downside across 10,000 market sequences — where the new Floor holds, where it doesn't, and what conditions push the plan into the territory below it. So you know what you're trading away, not just that you traded.
The question is honest:
Do you accept what you have, or are you trading something for what you want?
See If This Shape Holds →</t>
  </si>
  <si>
    <t>{gbDatumM} {dDatumM} {capDeltaM} {levName} {levPct} {levAmtSigned} {floorDeltaSigned}</t>
  </si>
  <si>
    <t>Studio surgical pitch: 'where the new Floor holds, where it doesn't, what conditions push the plan into territory below it'</t>
  </si>
  <si>
    <t>trade not a mistake' + 'trade with consequences' = forceful but not scaring · 'trading something for what you want' verb fits downside acceptance</t>
  </si>
  <si>
    <t>HOW TO RESOLVE THE TENSION
You've designed a Shape that reaches higher than your current Shape projects. The Ceiling moved up. That reach has a price — worth naming.
The three forces in tension:
  • CAPITAL — Your designed Shape requires {gbDatumM} by retirement. Your current Shape projects {dDatumM}. That's {capDeltaM} the sketch numbers don't reach.
  • LEVER — {levName} accounts for {levPct}% of that gap ({levAmtSigned}).
  • REACH — You stretched the upper edge by {ceilingDeltaSigned}/yr. The Ceiling — the level the plan supports when markets cooperate — sits higher than it did. Good years now have to do more of the work. The Shape reaches this lifestyle, but increasingly only when conditions align.
This is the moment the Sketch runs out of road. It can extend the Ceiling on paper; it can't tell you how often markets actually cooperate enough to fund the reach. How often that upper edge gets touched. What conditions have to compound for it to happen.
Studio shows how often that Ceiling actually gets reached across real market sequences — and what specific combinations of conditions, timing, and lever discipline have to align. So you know what you're reaching for, and what you're depending on to get there.
The question is honest:
Do you accept what you have, or are you reaching for what you want?
See If This Shape Holds →</t>
  </si>
  <si>
    <t>{gbDatumM} {dDatumM} {capDeltaM} {levName} {levPct} {levAmtSigned} {ceilingDeltaSigned}</t>
  </si>
  <si>
    <t>Studio surgical pitch: 'how often Ceiling actually gets reached · specific combinations of conditions, timing, and lever discipline'</t>
  </si>
  <si>
    <t>reach has a price' + 'good years now have to do more of the work' (Phase 2.5 voice) · 'reaching for' verb fits upside stretch</t>
  </si>
  <si>
    <t>HOW TO RESOLVE THE TENSION
You didn't shift position inside a state — you moved between states. From {stateHaveName} to {stateWantName}. That's a different kind of move, and it deserves its own honest read.
The three forces in tension:
  • CAPITAL — Your designed Shape requires {gbDatumM} by retirement. Your current Shape projects {dDatumM}. That's {capDeltaM} the sketch numbers don't reach.
  • LEVER — {levName} accounts for {levPct}% of that gap ({levAmtSigned}).
  • STRUCTURE — You crossed a state boundary. {stateHaveName} and {stateWantName} aren't the same kind of relationship to the plan. {stateTransitionContext} That's not a tweak — it's a reframe of what the plan is being asked to do.
This is the moment the Sketch runs out of road. It tells you the new state on paper; it doesn't tell you what living inside that state actually requires — which lever combinations the new structural category demands, how stable the new state is across real conditions, whether the move is sustainable or fragile.
Studio names exactly what crossing that boundary costs. It shows whether the new state holds under stress, what specific lever discipline maintains it, and what conditions would push the Shape back to where it started.
The question is honest:
Do you accept what you have, or are you committing to a different Shape entirely?
See If This Shape Holds →</t>
  </si>
  <si>
    <t>{gbDatumM} {dDatumM} {capDeltaM} {levName} {levPct} {levAmtSigned} {stateHaveName} {stateWantName} {stateTransitionContext}</t>
  </si>
  <si>
    <t>Studio surgical pitch: 'whether the new state holds under stress · what lever discipline maintains it · what conditions push it back'</t>
  </si>
  <si>
    <t>crossed a state boundary' + 'reframe of what the plan is being asked to do' = structural tension naming · 'committing to a different Shape entirely' is the heaviest close</t>
  </si>
  <si>
    <t>HOW TO RESOLVE THE TENSION
Same state, different posture. You haven't left {stateName} — but the Shape you've designed sits in a different part of it. That's a real shift even when the state name doesn't change.
The three forces in tension:
  • CAPITAL — Your designed Shape requires {gbDatumM} by retirement. Your current Shape projects {dDatumM}. That's {capDeltaM} the sketch numbers don't reach.
  • LEVER — {levName} accounts for {levPct}% of that gap ({levAmtSigned}).
  • POSITION — You shifted from {subZoneHaveName} to {subZoneWantName}. {subZoneDriftContext} That's not a state change — it's a position change. The category looks the same. The posture inside it doesn't.
This is the moment the Sketch runs out of road. It tells you the state holds; it doesn't tell you whether the new position holds differently than the old one. Which buffers got narrower. Which assumptions got more load-bearing. What conditions would push the Shape further toward the edge of the state you're still inside.
Studio shows whether the new posture actually matters across market sequences, account types, and the variables the Sketch doesn't model. Same state, different conditions to stay in it.
The question is honest:
Do you accept where you are, or are you positioning for something different inside the same state?
See If This Shape Holds →</t>
  </si>
  <si>
    <t>{gbDatumM} {dDatumM} {capDeltaM} {levName} {levPct} {levAmtSigned} {stateName} {subZoneHaveName} {subZoneWantName} {subZoneDriftContext}</t>
  </si>
  <si>
    <t>Studio surgical pitch: 'whether new posture matters across sequences, account types, variables Sketch doesn't model'</t>
  </si>
  <si>
    <t>category looks same, posture inside doesn't' = subtle but real tension framing · matches Captain's 'traded buffer for reach' voice anchor</t>
  </si>
  <si>
    <t>{dDatumM} {dFloorM} {dCeilM} {levName}</t>
  </si>
  <si>
    <t>Studio surgical pitch: 'whether the Shape you're already in actually holds across real conditions · what the Sketch can't show'</t>
  </si>
  <si>
    <t>deliberately what you want, or you haven't yet asked' = honest confirmation framing · 'what holds when conditions get real' as Studio handoff</t>
  </si>
  <si>
    <t>SECTION C — ROUTING LOGIC PSEUDOCODE (how the active 3rd lever is selected at render time)</t>
  </si>
  <si>
    <t>STEP 1 — Compute all scenario tension intensity scores:
  • paradoxStructuralScore = (stObj2.name==='OVEREXTENDED' &amp;&amp; stObj2.subZone==='STRUCTURAL') ? 100 : 0
  • paradoxTightScore     = (stObj2.name==='GROUNDED' &amp;&amp; stObj2.subZone==='TIGHT') ? 95 : 0
  • timeShiftScore        = abs(_d2LastScenario.retireAge - currentScenario.retireAge) &gt;= 1 ? min(100, abs(yrs)*20) : 0
  • contribShiftScore     = abs(contrib_delta_pct) &gt;= 0.10 ? min(100, abs(contrib_delta_pct)*100) : 0
  • capitalShiftScore     = abs(capital_delta_pct) &gt;= 0.05 ? min(100, abs(capital_delta_pct)*80) : 0
  • floorRiskScore        = (gbEnd.fvCon - ptsEnd.fvCon) &lt; -threshold ? min(100, abs(floor_drop_pct)*90) : 0
  • ceilingReachScore     = (gbEnd.fvUp - ptsEnd.fvUp) &gt; +threshold ? min(100, abs(ceiling_reach_pct)*70) : 0
  • stateTransitionScore  = (stObj1.name !== stObj2.name) ? 60 : 0
  • subZoneDriftScore     = (stObj1.name === stObj2.name &amp;&amp; stObj1.subZone !== stObj2.subZone) ? 40 : 0
STEP 2 — Priority override check (paradox always wins):
  IF paradoxStructuralScore &gt; 0 → active = 'PARADOX-STRUCTURAL'  (return; render template 1)
  ELSE IF paradoxTightScore &gt; 0 → active = 'PARADOX-TIGHT'        (return; render template 2)
STEP 3 — Conditional scenario selection (highest score wins, ties broken by priority order):
  candidates = [TIME-SHIFT, CONTRIBUTION-SHIFT, CAPITAL-SHIFT, FLOOR-RISK-SHIFT, CEILING-REACH-SHIFT, STATE-TRANSITION, SUB-ZONE-DRIFT]
  active = candidate with highest score (&gt;0)
STEP 4 — Fallback:
  IF no scenario scored &gt; 0 → active = 'STATIC-DESIGN'  (template 10)
STEP 5 — Render Card 4 prose using:
  • Standard Lever 1 (Capital delta) — always fires, same template fragment across all 10 scenarios
  • Standard Lever 2 (Most Impactful Lever) — always fires, sourced from refactored lever-attribution utility (R2.B prerequisite)
  • Active Lever 3 (scenario-specific) — selected scenario from steps 2-4
  • Studio handoff — surgical to active scenario
  • Accept/Push close — verb tuned per scenario ('push for' / 'commit to' / 'building toward' / 'reaching for' / 'committing to a different Shape entirely' / etc.)
NOTE: thresholds in Section A column E are starting values for Captain calibration. Live tuning happens during DevTools verify.</t>
  </si>
  <si>
    <t>COPILOT R2.A.D PROPOSAL — Framing A Dual-Naming Rewrite</t>
  </si>
  <si>
    <t>THE SHAPE YOU HAVE: OVEREXTENDED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most the plan can structurally carry.
  ↓ Floor — {dFloorK}/yr ({dFloorM} total). The downside line if markets disappoint.
Your spending target sits significantly above the Ceiling — meaningfully above what this portfolio can structurally support. This is a stress-test, not a plan state. The question isn't whether this works today — it doesn't — it's what would need to change for it to work.</t>
  </si>
  <si>
    <t>THE SHAPE YOU HAVE: OVEREXTENDED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most the plan can structurally carry in tougher conditions.
  ↓ Floor — {dFloorK}/yr ({dFloorM} total). The protected downside line.
Your spending target sits significantly above the Ceiling — and under stress that gap widens. This Shape doesn't hold; in tougher markets it breaks faster. Something has to change before this can carry.</t>
  </si>
  <si>
    <t>THE SHAPE YOU HAVE: OVEREXTENDED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even when markets cooperate.
  ↓ Floor — {dFloorK}/yr ({dFloorM} total). The protected downside line.
Even under optimistic conditions, your spending target sits significantly above the Ceiling. Favorable markets aren't enough to close this gap — the structural shortfall is too large. Something fundamental has to change.</t>
  </si>
  <si>
    <t>THE SHAPE YOU WANT: OVEREXTENDED
The Shape you've designed projects to about {gbDatumM} by retirement under average market conditions. Sustaining your designed Datum of {gbDatumK}/yr would actually require closer to {gbDatumReqM}.
At those designed boundaries, this Shape would need:
  ↑ Ceiling — {gbCeilK}/yr ({gbCeilM} total). The upper edge you've set.
  ↓ Floor — {gbFloorK}/yr ({gbFloorM} total). The downside line you've drawn.
Your designed spending sits significantly above your designed Ceiling — meaningfully above what this portfolio can structurally support. This is a stress-test of intent, not a plan state. The question isn't whether this works — it doesn't — it's what would need to move for it to work.</t>
  </si>
  <si>
    <t>THE SHAPE YOU WANT: OVEREXTENDED
The Shape you've designed projects to about {gbDatumM} by retirement under stressed market conditions — even when returns come in worse than average. Sustaining your designed Datum of {gbDatumK}/yr would actually require closer to {gbDatumReqM}.
Under that tougher path, your designed boundaries would be:
  ↑ Ceiling — {gbCeilK}/yr ({gbCeilM} total). The upper edge even under stress.
  ↓ Floor — {gbFloorK}/yr ({gbFloorM} total). The downside line you've drawn.
Your designed spending sits significantly above your designed Ceiling — and stress widens that gap further. This Shape doesn't hold under tougher markets. Something fundamental has to shift before it can carry.</t>
  </si>
  <si>
    <t>THE SHAPE YOU WANT: OVEREXTENDED
The Shape you've designed projects to about {gbDatumM} by retirement under optimistic market conditions — when conditions cooperate. Sustaining your designed Datum of {gbDatumK}/yr would actually require closer to {gbDatumReqM}.
On that favorable path, your designed boundaries would be:
  ↑ Ceiling — {gbCeilK}/yr ({gbCeilM} total). The upper edge when markets deliver.
  ↓ Floor — {gbFloorK}/yr ({gbFloorM} total). The downside line you've drawn.
Even if markets cooperate, your designed spending sits significantly above your designed Ceiling. Favorable conditions aren't enough to close this gap — the structural shortfall is too wide. Something fundamental has to move.</t>
  </si>
  <si>
    <t>THE SHAPE YOU HAVE: OVEREXTENDED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most the plan can structurally carry.
  ↓ Floor — {dFloorK}/yr ({dFloorM} total). The downside line if markets disappoint.
Your spending target sits just above the Ceiling — you've crossed the line, but only narrowly. This isn't a deep structural break yet; it's the entry zone where the plan starts to depend on things going better than expected. Small adjustments now keep small things small.</t>
  </si>
  <si>
    <t>THE SHAPE YOU HAVE: OVEREXTENDED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most the plan can structurally carry under stress.
  ↓ Floor — {dFloorK}/yr ({dFloorM} total). The protected downside line.
Your spending target sits just above the Ceiling — and under stress, that narrow gap matters more. You're in the entry zone, where the plan starts depending on favorable conditions. Worth addressing while the move required is still small.</t>
  </si>
  <si>
    <t>THE SHAPE YOU HAVE: OVEREXTENDED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Even under optimistic conditions, your spending target sits just above the Ceiling. You've narrowly crossed the line, but you're relying on favorable markets to make it work. That's a thin reed. Worth knowing this is the entry zone — the threshold where the plan stops carrying you on its own.</t>
  </si>
  <si>
    <t>THE SHAPE YOU WANT: OVEREXTENDED
The Shape you've designed projects to about {gbDatumM} by retirement under average market conditions. Sustaining your designed Datum of {gbDatumK}/yr would actually require closer to {gbDatumReqM}.
At those designed boundaries, this Shape would need:
  ↑ Ceiling — {gbCeilK}/yr ({gbCeilM} total). The upper edge you've set.
  ↓ Floor — {gbFloorK}/yr ({gbFloorM} total). The downside line you've drawn.
Your designed spending sits just above your designed Ceiling — you've narrowly stepped over the line. This is the entry zone, not a structural break. The plan starts depending on favorable conditions here. Small moves still produce small fixes — worth doing while that's true.</t>
  </si>
  <si>
    <t>THE SHAPE YOU WANT: OVEREXTENDED
The Shape you've designed projects to about {gbDatumM} by retirement under stressed market conditions — even when returns come in worse than average. Sustaining your designed Datum of {gbDatumK}/yr would actually require closer to {gbDatumReqM}.
Under that tougher path, your designed boundaries would be:
  ↑ Ceiling — {gbCeilK}/yr ({gbCeilM} total). The upper edge under stress.
  ↓ Floor — {gbFloorK}/yr ({gbFloorM} total). The downside line you've drawn.
Your designed spending sits just above your designed Ceiling — and under stress, the entry zone matters more. The plan depends on conditions that may not arrive. Worth resolving while the required adjustment is still small.</t>
  </si>
  <si>
    <t>THE SHAPE YOU WANT: OVEREXTENDED
The Shape you've designed projects to about {gbDatumM} by retirement under optimistic market conditions — when conditions cooperate. Sustaining your designed Datum of {gbDatumK}/yr would actually require closer to {gbDatumReqM}.
On that favorable path, your designed boundaries would be:
  ↑ Ceiling — {gbCeilK}/yr ({gbCeilM} total). The upper edge when markets deliver.
  ↓ Floor — {gbFloorK}/yr ({gbFloorM} total). The downside line you've drawn.
Even under optimistic conditions, your designed spending sits just above your designed Ceiling. You've crossed the line by a hair — relying on favorable markets to keep things working. That's a thin reed. The entry zone is where small choices still produce small fixes.</t>
  </si>
  <si>
    <t>THE SHAPE YOU HAVE: STRETCHED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right up against the Ceiling — the plan reaches this lifestyle, but mostly when markets cooperate. Good years are doing nearly all the heavy lifting. The margin above is thin, and any disappointment lands more directly on you.</t>
  </si>
  <si>
    <t>THE SHAPE YOU HAVE: STRETCHED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right up against the Ceiling — and under stress, that ceiling drops. The plan is pulling everything it can to carry this lifestyle, with almost nothing held back. This Shape works only when conditions hold together. Worth knowing where the line is when they don't.</t>
  </si>
  <si>
    <t>THE SHAPE YOU HAVE: STRETCHED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right up against the Ceiling — even under optimistic conditions. Favorable markets are what makes this Shape work, not what makes it comfortable. The good news is the plan reaches this lifestyle. The harder news is you've used most of the room.</t>
  </si>
  <si>
    <t>THE SHAPE YOU WANT: STRETCHED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right up against your designed Ceiling — the plan reaches this lifestyle, but mostly when markets cooperate. Good years would be doing nearly all the heavy lifting. The margin above is thin by design — worth knowing whether that thinness is intended or accidental.</t>
  </si>
  <si>
    <t>THE SHAPE YOU WANT: STRETCHED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right up against your designed Ceiling — and under stress that gap closes further. This Shape pulls everything it can; almost nothing held back. It works only when conditions hold together. Worth confirming whether that's the trade-off you intended.</t>
  </si>
  <si>
    <t>THE SHAPE YOU WANT: STRETCHED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Even under optimistic conditions, your designed spending sits right up against your designed Ceiling. Favorable markets are what makes this Shape reach, not what makes it comfortable. You've used most of the room available — worth knowing that's by design.</t>
  </si>
  <si>
    <t>THE SHAPE YOU HAVE: STRETCHED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in the upper part of the supported range — the plan carries this lifestyle, but with less margin than a more centered position would give you. Good years are doing more of the heavy lifting now. You haven't crossed into trouble, but the buffer above is leaner.</t>
  </si>
  <si>
    <t>THE SHAPE YOU HAVE: STRETCHED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in the upper part of the supported range — and stress narrows that range. The plan still carries this lifestyle in tougher markets, but with less room to absorb surprises. Worth watching how the margin moves as conditions shift.</t>
  </si>
  <si>
    <t>THE SHAPE YOU HAVE: STRETCHED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in the upper part of the supported range — even under optimistic conditions. The good news: the plan handles this comfortably when markets deliver. The honest read: you're closer to the upper edge than a centered position would put you.</t>
  </si>
  <si>
    <t>THE SHAPE YOU WANT: STRETCHED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in the upper part of the supported range — the plan carries it, but with less margin than a more centered position would give. Good years would do more of the heavy lifting. Worth knowing whether that leaner buffer is the trade-off you intended.</t>
  </si>
  <si>
    <t>THE SHAPE YOU WANT: STRETCHED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in the upper part of the supported range — and under stress the range narrows. The plan still holds, but with less room to absorb surprises. Worth confirming that's the margin you want operating under tougher conditions.</t>
  </si>
  <si>
    <t>THE SHAPE YOU WANT: STRETCHED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Your designed spending sits in the upper part of the supported range — even under optimistic conditions. The plan handles this comfortably when markets cooperate, but you're closer to the upper edge than a centered design would put you. Worth knowing that's intentional.</t>
  </si>
  <si>
    <t>THE SHAPE YOU HAVE: EXPANSIVE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in the upper portion of the supported range. Good years are doing more of the heavy lifting — the plan reaches this lifestyle, but the Ceiling is closer than it was. You haven't left EXPANSIVE territory, but you've traded some of the buffer that makes a more centered position comfortable.</t>
  </si>
  <si>
    <t>THE SHAPE YOU HAVE: EXPANSIVE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in the upper portion of the supported range — and under stress, the Ceiling is even closer. You're still inside EXPANSIVE, but the buffer above is real and worth watching. The number where the plan starts depending on things going well — that's the boundary worth knowing.</t>
  </si>
  <si>
    <t>THE SHAPE YOU HAVE: EXPANSIVE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in the upper portion of the supported range — even when conditions cooperate. You're well inside EXPANSIVE, but closer to the Ceiling than to the Floor. The plan carries this lifestyle comfortably under favorable markets; the position is more about how much room you want than whether the plan holds.</t>
  </si>
  <si>
    <t>THE SHAPE YOU WANT: EXPANSIVE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in the upper portion of your designed range. Good years would do more of the heavy lifting. You're still inside EXPANSIVE, but you've placed yourself closer to the Ceiling than the Floor — worth knowing whether that proximity is the trade-off you intended.</t>
  </si>
  <si>
    <t>THE SHAPE YOU WANT: EXPANSIVE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in the upper portion of your designed range — and under stress, the Ceiling is closer still. The Shape holds inside EXPANSIVE, but the buffer above is leaner. Worth confirming that's the position you want when conditions don't cooperate.</t>
  </si>
  <si>
    <t>THE SHAPE YOU WANT: EXPANSIVE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Your designed spending sits in the upper portion of your designed range — even under optimistic conditions. You're inside EXPANSIVE, closer to the Ceiling than the Floor. The plan handles this comfortably when markets cooperate; the question is how much headroom you actually want.</t>
  </si>
  <si>
    <t>THE SHAPE YOU HAVE: EXPANSIVE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squarely in the middle of what the plan can support. Neither edge is close, and the plan works across most futures. The range is wide because real-world variables aren't fully modeled yet. Right now outcomes are roughly balanced around your target — neither pressing toward stress nor accumulating obvious surplus.</t>
  </si>
  <si>
    <t>THE SHAPE YOU HAVE: EXPANSIVE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squarely in the middle of the supported range. Even under stress, neither edge is close — the plan works across most tougher futures. This is the position where the plan absorbs surprises most easily; outcomes stay roughly balanced around your target.</t>
  </si>
  <si>
    <t>THE SHAPE YOU HAVE: EXPANSIVE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squarely in the middle of the supported range — even under optimistic conditions. Neither edge is close; the plan works across most favorable futures. This is the position with the most flexibility — outcomes stay roughly balanced regardless of which way conditions break.</t>
  </si>
  <si>
    <t>THE SHAPE YOU WANT: EXPANSIVE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squarely in the middle of your designed range. Neither edge is close, and the plan works across most futures around it. This is where the plan runs most freely — outcomes balanced around your target, with room to absorb surprises in either direction.</t>
  </si>
  <si>
    <t>THE SHAPE YOU WANT: EXPANSIVE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squarely in the middle of your designed range — and even under stress, neither edge is close. This is the position where the plan absorbs tougher conditions most easily. Outcomes stay roughly balanced around your target.</t>
  </si>
  <si>
    <t>THE SHAPE YOU WANT: EXPANSIVE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Your designed spending sits squarely in the middle of your designed range — even under optimistic conditions. This is the position with the most flexibility — neither edge pressing, plan running freely, outcomes balanced regardless of which way markets break.</t>
  </si>
  <si>
    <t>THE SHAPE YOU HAVE: EXPANSIVE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in the lower portion of the supported range — closer to the Floor than the Ceiling, with substantial Ceiling headroom above. You're well inside EXPANSIVE; the plan carries this lifestyle comfortably, and there's a lot of capacity above your target that the plan can support and you're not using.</t>
  </si>
  <si>
    <t>THE SHAPE YOU HAVE: EXPANSIVE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in the lower portion of the supported range — closer to the Floor than the Ceiling. Even under stress, the plan carries this lifestyle comfortably, with substantial unused Ceiling capacity above. Whether that capacity is buffer or surplus is worth naming.</t>
  </si>
  <si>
    <t>THE SHAPE YOU HAVE: EXPANSIVE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in the lower portion of the supported range — even under optimistic conditions. There's substantial Ceiling headroom above that the plan can support and you're not using. Worth knowing what that headroom represents: buffer, future flexibility, or capacity you've chosen to leave unclaimed.</t>
  </si>
  <si>
    <t>THE SHAPE YOU WANT: EXPANSIVE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in the lower portion of your designed range — closer to the Floor than the Ceiling. There's meaningful capacity above your target that the plan can support and you're not using. Whether that's by design or by default is worth knowing — buffer against rough sequences, room for an earlier retirement, or something to leave behind.</t>
  </si>
  <si>
    <t>THE SHAPE YOU WANT: EXPANSIVE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in the lower portion of your designed range. Even under stress, the plan carries this lifestyle comfortably — substantial Ceiling capacity remains above. Worth naming what that capacity is doing for you in tougher conditions.</t>
  </si>
  <si>
    <t>THE SHAPE YOU WANT: EXPANSIVE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Your designed spending sits in the lower portion of your designed range — even under optimistic conditions. Substantial Ceiling capacity sits above unused. Worth naming what that surplus represents: earlier retirement, larger legacy, or stronger resilience against what the Sketch doesn't model.</t>
  </si>
  <si>
    <t>THE SHAPE YOU HAVE: GROUNDED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squarely between the Floor and the Ceiling — well-supported by what the plan can deliver. The plan carries this lifestyle even under stress, with meaningful room still above before conditions start to matter. Outcomes are roughly balanced around your target.</t>
  </si>
  <si>
    <t>THE SHAPE YOU HAVE: GROUNDED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squarely between the Floor and the Ceiling — even under stress, the plan carries this lifestyle. This is what the Shape looks like when conditions don't cooperate: still supported, still anchored, with margin on both sides.</t>
  </si>
  <si>
    <t>THE SHAPE YOU HAVE: GROUNDED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squarely between the Floor and the Ceiling — well-supported when conditions cooperate. The plan carries this lifestyle with substantial room to spare. The position is comfortable; the question becomes what the headroom above is for.</t>
  </si>
  <si>
    <t>THE SHAPE YOU WANT: GROUNDED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The plan covers your designed spending even in a bad scenario — and there's real room above before things get tight. You're in a safe position, but safe has a cost: there's meaningful capacity above your target that the plan can support and you're not using. Whether that's by design or by default is worth knowing.</t>
  </si>
  <si>
    <t>THE SHAPE YOU WANT: GROUNDED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Even under stress, the plan covers your designed spending — with room above before things get tight. This is a resilient Shape: anchored between margins on both sides, intentional rather than accidental. Worth confirming the headroom above is doing what you want it to do.</t>
  </si>
  <si>
    <t>THE SHAPE YOU WANT: GROUNDED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Under optimistic conditions, this Shape sits comfortably between margins — the plan covers your designed spending with substantial room above. The position is well-protected; the question is whether the headroom is buffer you want or capacity you've chosen not to use.</t>
  </si>
  <si>
    <t>THE SHAPE YOU HAVE: GROUNDED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between the Floor and the Ceiling — but closer to the Floor than a more centered position would put you. The plan still carries this lifestyle, but the cushion between your spending and the downside line is thinner than it could be. Worth knowing where that line is and how much room separates you from it.</t>
  </si>
  <si>
    <t>THE SHAPE YOU HAVE: GROUNDED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between the edges, but closer to the Floor — and under stress, that gap matters more. The plan still carries this lifestyle, but the buffer below is thin. This is still a supported position; the cushion that protects you is just narrower than it could be.</t>
  </si>
  <si>
    <t>THE SHAPE YOU HAVE: GROUNDED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between the edges, but closer to the Floor — even when conditions cooperate. The plan handles this comfortably under favorable markets; the position is more conservative than centered, with a thinner cushion below than above.</t>
  </si>
  <si>
    <t>THE SHAPE YOU WANT: GROUNDED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between the edges, but you've placed it closer to the Floor than a centered position would. The plan still covers this Shape, but the cushion below is leaner by design. Worth knowing whether that tighter buffer is the trade-off you intended — or whether centering would feel better.</t>
  </si>
  <si>
    <t>THE SHAPE YOU WANT: GROUNDED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between the edges, but closer to the Floor — and under stress, that gap is what protects you. The plan still holds, but the cushion is thinner than it could be. Worth confirming you want this proximity to the downside line operating under tougher conditions.</t>
  </si>
  <si>
    <t>THE SHAPE YOU WANT: GROUNDED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Under optimistic conditions, your designed spending sits between the edges but closer to the Floor than a centered design would put it. The plan handles this comfortably; the position is more conservative than centered, with leaner buffer below than above. Worth knowing that's intentional.</t>
  </si>
  <si>
    <t>THE SHAPE YOU HAVE: ABUNDANT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just below the Floor — you're at or near the most conservative line the plan models. The plan supports this lifestyle even in its bad scenario, with substantial capacity above. There's meaningful room you're not using; whether that's deliberate conservatism or accidental headroom is worth knowing.</t>
  </si>
  <si>
    <t>THE SHAPE YOU HAVE: ABUNDANT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just below the Floor — even under stress, the plan supports this lifestyle. You're operating at the conservative line by choice. Substantial capacity above is intact even in tougher markets. Worth naming what that resilience is doing for you.</t>
  </si>
  <si>
    <t>THE SHAPE YOU HAVE: ABUNDANT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just below the Floor — and even under optimistic conditions, the gap above represents substantial capacity unused. Whether that's a deliberate conservative anchor or capacity worth reconsidering depends on what the surplus is meant to do.</t>
  </si>
  <si>
    <t>THE SHAPE YOU WANT: ABUNDANT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just below your designed Floor — at or near the conservative line. The plan has meaningful room above this Datum. That surplus is a choice — buffer against rough sequences, room for an earlier retirement, or capital to leave behind. Naming it makes it intentional rather than accidental.</t>
  </si>
  <si>
    <t>THE SHAPE YOU WANT: ABUNDANT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just below your designed Floor — even under stress, the plan supports this lifestyle. The capacity above stays meaningful in tougher conditions. Worth naming what that resilience is built for: stress protection, future flexibility, or intentional restraint.</t>
  </si>
  <si>
    <t>THE SHAPE YOU WANT: ABUNDANT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Under optimistic conditions, your designed spending sits just below your designed Floor — and the unused capacity above grows. Whether that surplus represents a deliberate conservative anchor or capacity worth reconsidering depends on what you want it doing in years of earlier retirement, larger legacy, or stronger stress resilience.</t>
  </si>
  <si>
    <t>THE SHAPE YOU HAVE: ABUNDANT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well below the Floor — you're asking for substantially less than the plan is built to deliver. The plan has substantial room above this Datum, and that surplus is a choice. Whether by design or by default, it represents capacity in years of earlier retirement, larger legacy, or stronger stress resilience.</t>
  </si>
  <si>
    <t>THE SHAPE YOU HAVE: ABUNDANT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well below the Floor — even under stress, the plan supports far more than you're asking for. That substantial unused capacity is robust to tougher conditions. The question becomes what that resilience is doing: insurance, optionality, or accidental restraint.</t>
  </si>
  <si>
    <t>THE SHAPE YOU HAVE: ABUNDANT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well below the Floor — and under optimistic conditions, the unused capacity widens further. You're asking for substantially less than the plan can carry. Whether that gap represents deliberate conservatism or unclaimed capacity is worth naming so it's intentional.</t>
  </si>
  <si>
    <t>THE SHAPE YOU WANT: ABUNDANT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well below your designed Floor — you're asking for substantially less than the plan is built to deliver. That surplus is a choice — buffer against rough sequences, room for an earlier retirement, or capital to leave behind. Naming it makes it intentional rather than accidental.</t>
  </si>
  <si>
    <t>THE SHAPE YOU WANT: ABUNDANT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well below your designed Floor — even under stress, the plan carries far more than you're asking for. That substantial unused capacity is robust to tougher conditions. Worth naming what that resilience is built for: stress protection, future optionality, or intentional restraint.</t>
  </si>
  <si>
    <t>THE SHAPE YOU WANT: ABUNDANT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Under optimistic conditions, your designed spending sits well below your designed Floor — and the unused capacity widens further. Studio can show whether that surplus represents a deliberate conservative anchor or capacity worth reconsidering — in years of earlier retirement, larger legacy, or stronger stress resilience.</t>
  </si>
  <si>
    <t>🚧 COPILOT B.1a PROPOSAL — Context-Var Lookups + Studio Handoff Audit (Captain reviews · approves/edits/rejects cell-by-cell)</t>
  </si>
  <si>
    <t>DIFF-REVIEW WORKFLOW: This column proposes (1) the missing scenario-specific context variables that scenarios 3, 8, 9 reference but were not yet authored, AND (2) audit notes on each scenario's Studio handoff line — flagging any that drift toward generic-Studio-pitch energy. Captain reviews each cell H18-H27 (one row per scenario) · approves/edits/rejects in workbook · then approved content gets pasted into Datum FI Copy System V11 for Claude to read at R2.B dispatch.</t>
  </si>
  <si>
    <t>SCENARIO 3 — TIME-SHIFT
📦 CONTEXT-VAR PROPOSAL: {bridgeContext} — short connective phrase that sits between "{yearsDeltaAbs} bridge years that the plan has to fund" and "before traditional retirement assets become available." Renders different copy depending on direction (earlier vs later retirement shift).
RENDERED OUTPUT MAPPING (✅ Captain approved 2026-05-25):
  • If yearsDeltaDir = "earlier": "with taxable accounts and bridge income"
  • If yearsDeltaDir = "later": "while contributions continue and tax-advantaged caps reset"
Claude implements as a simple conditional lookup: bridgeContext = (yearsDeltaDir === "earlier") ? "with taxable accounts and bridge income" : "while contributions continue and tax-advantaged caps reset"
🔍 STUDIO HANDOFF AUDIT — Current line: "Studio models bridge spending, Roth conversion windows, and Social Security claiming — the WHEN levers your shifted retirement requires. It runs your actual numbers across 10,000 market sequences and shows which lever is most likely to bridge the distance."
✅ PASS — Captain confirmed 2026-05-25. "10,000 market sequences" appears ONCE here (Copilot earlier mis-audit corrected). Prose surgical: names 3 concrete Studio capabilities (bridge spending · Roth conversion · SS claiming) AND ties them to WHEN-axis. "Which lever is most likely to bridge the distance" earns the sequence reference. NO REWRITE NEEDED.</t>
  </si>
  <si>
    <t>SCENARIO 4 — CONTRIBUTION-SHIFT
📦 CONTEXT-VAR PROPOSALS: None required. Uses only base vars + {contribDeltaSigned} + {contribDeltaPct} (both already computed from delta math).
🔍 STUDIO HANDOFF AUDIT — Current line: "Studio stress-tests whether your designed savings rate actually holds — across career disruptions, account caps, and the tax-advantaged sequencing decisions that determine whether contributing $X actually buys you $X in retirement spending power."
✅ PASS — excellent. The "contributing $X actually buys you $X" framing names a real Studio insight the Sketch can't deliver (tax-drag on contribution effective value). NO REWRITE NEEDED.</t>
  </si>
  <si>
    <t>SCENARIO 5 — CAPITAL-SHIFT
📦 CONTEXT-VAR PROPOSALS: None required. Uses only base vars + {capitalDeltaSigned}.
🔍 STUDIO HANDOFF AUDIT — Current line: "Studio models exactly how that capital lands — what's already invested, what depends on future events, how account types reshape effective spending power, and what timing means for the path between here and there."
✅ PASS — surgical. Names 4 specific Studio dimensions (already-invested · future-event-dependent · account-type-shaping · timing). The "what timing means for the path between here and there" line is voice-strong — feels custom not boilerplate. NO REWRITE NEEDED.</t>
  </si>
  <si>
    <t>SCENARIO 6 — FLOOR-RISK-SHIFT
📦 CONTEXT-VAR PROPOSALS: None required. Uses only base vars + {floorDeltaSigned}.
🔍 STUDIO HANDOFF AUDIT — Current line: "Studio stress-tests that accepted downside across 10,000 market sequences — where the new Floor holds, where it doesn't, and what conditions push the plan into the territory below it. So you know what you're trading away, not just that you traded."
⚠️ STILL AWAITING CAPTAIN DECISION — minor flag on "10,000 market sequences" generic phrasing. Captain did not explicitly approve/reject this rewrite in 2026-05-25 pass.
🔧 PROPOSED REWRITE (pending Captain): "Studio stress-tests that accepted downside against the market sequences the Sketch holds constant — where the new Floor holds, where it doesn't, and what conditions push the plan into the territory below it. So you know what you're trading away, not just that you traded."
💡 Decision needed before R2.B dispatch: approve the rewrite (paste into D26) OR keep D26 as-is. Low priority — D26 prose is forceful and the "10,000 market sequences" line is only minor generic-pitch territory.</t>
  </si>
  <si>
    <t>SCENARIO 7 — CEILING-REACH-SHIFT
📦 CONTEXT-VAR PROPOSALS: None required. Uses only base vars + {ceilingDeltaSigned}.
🔍 STUDIO HANDOFF AUDIT — Current line: "Studio shows how often that Ceiling actually gets reached across real market sequences — and what specific combinations of conditions, timing, and lever discipline have to align. So you know what you're reaching for, and what you're depending on to get there."
✅ PASS — strong. "What specific combinations of conditions, timing, and lever discipline have to align" is exactly the surgical handoff. The "real market sequences" phrasing reads natural here (not "10,000") because the focus is frequency, not count. NO REWRITE NEEDED.</t>
  </si>
  <si>
    <t>SCENARIO 8 — STATE-TRANSITION
📦 CONTEXT-VAR PROPOSAL: {stateTransitionContext} — short authored sentence that names what the specific state pair actually MEANS structurally. Lookup table by state-pair (HAVE → WANT). 20 ordered pairs total (5 states × 4 different targets each).
RENDERED OUTPUT MAPPING (proposed lookup table):
  ABUNDANT → GROUNDED: "Moving from "more capacity than you need" to "the plan supports it with margin to spare" — that's a tightening of comfort, not a structural weakening."
  ABUNDANT → EXPANSIVE: "You're trading visible surplus for visible variance — wider middle paths, less reserve, more dependence on which sequence you actually live through."
  ABUNDANT → STRETCHED: "You're moving from surplus to upper-edge — from "plan covers more than you need" to "plan covers this only when conditions cooperate.""
  ABUNDANT → OVEREXTENDED: "You're crossing from surplus to structural gap — from "plan supports more than you spend" to "plan can't structurally carry what you're asking it to.""
  GROUNDED → ABUNDANT: "You're building structural surplus — from "plan supports it" to "plan supports more than you need.""
  GROUNDED → EXPANSIVE: "You're widening the envelope — same support, more variance in either direction, more middle paths your retirement could actually live through."
  GROUNDED → STRETCHED: "You're moving from the lower-stable edge to the upper-reaching edge — same plan, very different posture toward the conditions you depend on."
  GROUNDED → OVEREXTENDED: "You're crossing from supported to structurally short — from "plan carries it" to "plan can't carry it under current inputs.""
  EXPANSIVE → ABUNDANT: "You're trading width for surplus — narrower envelope, but more capacity than you actually need."
  EXPANSIVE → GROUNDED: "You're tightening — same general support, but less variance in what the plan can absorb."
  EXPANSIVE → STRETCHED: "You're shifting from wide-middle to upper-edge — the same envelope now leans toward conditions cooperating."
  EXPANSIVE → OVEREXTENDED: "You're moving from wide-supported to structurally short — the envelope reached as far as it could, and the Datum is past it."
  STRETCHED → ABUNDANT: "You're pulling back significantly — from reaching at the upper edge to sitting comfortably below the lower one."
  STRETCHED → GROUNDED: "You're settling — trading upper-edge reach for lower-edge stability."
  STRETCHED → EXPANSIVE: "You're moving from the upper-edge to the middle — same plan, less dependency on good conditions."
  STRETCHED → OVEREXTENDED: "You're moving past the upper edge — from "reaches when conditions cooperate" to "reaches even when conditions cooperate isn't enough.""
  OVEREXTENDED → ABUNDANT: "Significant restructuring — from "plan can't carry this" to "plan carries more than this." A different question entirely."
  OVEREXTENDED → GROUNDED: "From "plan can't carry this" to "plan carries this with no margin" — closing the structural gap but landing on the edge."
  OVEREXTENDED → EXPANSIVE: "From "structurally short" to "structurally supported with variance" — closing the gap and giving the envelope back."
  OVEREXTENDED → STRETCHED: "From "plan can't carry this" to "plan carries this only when conditions cooperate" — closing the structural gap by accepting upper-edge dependency."
🔍 STUDIO HANDOFF AUDIT — Current line: "Studio names exactly what crossing that boundary costs. It shows whether the new state holds under stress, what specific lever discipline maintains it, and what conditions would push the Shape back to where it started."
✅ PASS — surgical. Names 3 specific Studio measurements (cost of crossing · stress-holding · lever discipline maintaining · push-back conditions). The "push the Shape back to where it started" closes the loop honestly. NO REWRITE NEEDED.
✅ Captain approved 2026-05-25 — 20-pair state-transition matrix locked.</t>
  </si>
  <si>
    <t>SCENARIO 9 — SUB-ZONE-DRIFT
📦 CONTEXT-VAR PROPOSAL: {subZoneDriftContext} — short authored sentence naming what the specific sub-zone shift means inside the state. Lookup table by sub-zone-pair within each state.
RENDERED OUTPUT MAPPING (proposed — most common drift cases per state):
  ABUNDANT WELL_BELOW → JUST_BELOW: "You moved closer to the lower edge of ABUNDANT — still surplus, but less of it. The buffer between Datum and Floor narrowed without changing the relationship."
  ABUNDANT JUST_BELOW → WELL_BELOW: "You moved deeper into surplus — same ABUNDANT relationship to the plan, more capacity unused."
  GROUNDED TIGHT → STABLE: "You restored buffer between Datum and Floor — still GROUNDED, but with margin to absorb variance the Sketch doesn't model."
  GROUNDED STABLE → TIGHT: "You traded buffer for something else — Datum moved toward the Floor, leaving less margin for the conditions the Sketch holds constant."
  EXPANSIVE FLOOR_SIDE → CENTERED: "You moved toward the middle of the envelope — same EXPANSIVE category, but more balanced between downside protection and upside reach."
  EXPANSIVE CENTERED → FLOOR_SIDE: "You drifted toward the lower paths — same envelope, more weight on conservative outcomes than aggressive ones."
  EXPANSIVE CENTERED → CEILING_SIDE: "You drifted toward the upper paths — same envelope, more dependency on conditions cooperating than on conservative ones holding."
  EXPANSIVE CEILING_SIDE → CENTERED: "You pulled back from the upper edge — same envelope, less reach, more balance across paths."
  STRETCHED STANDARD → HIGH_END: "You stretched further toward the Ceiling — same upper-edge posture, but now even closer to where the plan stops cooperating with normal conditions."
  STRETCHED HIGH_END → STANDARD: "You pulled back from the upper edge — still STRETCHED, but the reach has more headroom against the Ceiling."
  OVEREXTENDED ENTRY → STRUCTURAL: "You're no longer just past the Ceiling — the structural gap widened. The plan can't carry this even with favorable conditions."
  OVEREXTENDED STRUCTURAL → ENTRY: "You closed some of the structural gap — still over the Ceiling, but closer to where it could become reachable with the right inputs."
Claude implements as a sub-zone-pair lookup keyed by [stateName + subZoneHave + subZoneWant].
🔍 STUDIO HANDOFF AUDIT — Current line: "Studio shows whether the new posture actually matters across market sequences, account types, and the variables the Sketch doesn't model. Same state, different conditions to stay in it."
✅ PASS — the "Same state, different conditions to stay in it" line is excellent — captures the subtle-but-real nature of sub-zone drift. Names 3 Studio dimensions (sequences · account types · constant-held variables). NO REWRITE NEEDED.
✅ Captain approved 2026-05-25 — 12 sub-zone-drift sentences locked.</t>
  </si>
  <si>
    <t>SCENARIO 10 — STATIC-DESIGN
📦 CONTEXT-VAR PROPOSALS: None required. Uses only base vars ({dDatumM} {dFloorM} {dCeilM} {levName}).
🔍 STUDIO HANDOFF AUDIT — ✅ FINAL — Option 3 LOCKED (Captain approved 2026-05-25)
FINAL LOCKED STUDIO HANDOFF (now in D30):
"Studio tests the variable carrying the weight — {levName} — against the sequences, account types, and timing the Sketch holds constant. Stable on paper doesn't mean stable when conditions arrive."
✅ Why Option 3 wins: shortest (2 sentences) · single anchor ({levName} as "the variable carrying the weight" echoes lever section without verbatim repeat) · forceful closer ("stable on paper doesn't mean stable when conditions arrive") beats any 3-item Studio list · no "10,000 sequences" generic phrasing · abstract "sequences, account types, timing" reads native not pitch-deck.
💡 Doctrinal note: Captain rejected earlier verbose 4-sentence rewrite — taught teachable lesson that surgical short beats listicle long when STATIC-DESIGN fallback needs Studio specificity.</t>
  </si>
  <si>
    <t>HOW TO RESOLVE THE TENSION
Your designed Shape is essentially your current Shape. The tension here isn't between two different futures — it's between the Shape the Sketch can draw and the Shape that actually holds when real conditions arrive.
The three forces still worth naming:
  • CAPITAL — Your portfolio is projected to reach {dDatumM} by retirement on the middle path. Real outcomes could land {dFloorM} lower or {dCeilM} higher depending on which markets you actually live through. That spread isn't theoretical — it's what your retirement actually depends on.
  • LEVER — The plan's biggest sensitivity is {levName}. Every dollar of variance there moves the projection more than any other lever. That's the variable your future depends on most.
  • CONFIRMATION — You haven't pushed the design. That's worth naming — this Shape is either deliberately what you want, or you haven't yet asked whether the plan could carry more.
This is the moment the Sketch runs out of road. It draws the envelope; it doesn't know whether your account types support this projection, what sequence-of-returns risk does to the years right before and after retirement, or how Roth conversions reshape the floor between now and then.
Studio tests the variable carrying the weight — {levName} — against the sequences, account types, and timing the Sketch holds constant. Stable on paper doesn't mean stable when conditions arrive.
The question is honest:
Do you accept what the Sketch shows, or do you want to know what holds when conditions get real?
See If This Shape Holds →</t>
  </si>
  <si>
    <t>📖 TERMINOLOGY REFERENCE — Rosetta Stone for Datum FI</t>
  </si>
  <si>
    <t>⚡ v2 REFRESH (4/26/2026): Column D values are NOW LIVE FORMULAS referencing External Interface (live source-of-truth). Previously these were 4/18 snapshots that drifted. Original 4/18 doctrine (Decision Journal Entry 141) preserved. After Phase A.2 GREEN (engine 1.8 deploy), these values may shift — that's by design; the formulas update automatically.</t>
  </si>
  <si>
    <t>Doctrine: The website's language (Survival Floor / Your Datum / Structural Ceiling) is the PRODUCT'S NATIVE VOCABULARY — it predates and supersedes the later workbook terminology (Bedrock / Foundation / Keystone / Capstone). Philosophy Copy (Original) — the brand's constitutional text — uses website terms exclusively. Workbook terms are engineering aliases that drifted during FloorPlan Output construction. This sheet restores alignment.</t>
  </si>
  <si>
    <t>⚠️ Column D values are SNAPSHOTS as of Apr 18, 2026. The Authoritative Cell (Column C) is the live source — always read from there for current values. This sheet exists for human reference, not automated lookup.</t>
  </si>
  <si>
    <t>Website Term (Primary)</t>
  </si>
  <si>
    <t>Workbook Backend Term</t>
  </si>
  <si>
    <t>Authoritative Cell</t>
  </si>
  <si>
    <t>Current Value</t>
  </si>
  <si>
    <t>Plain Description</t>
  </si>
  <si>
    <t>Structural Ceiling</t>
  </si>
  <si>
    <t>capstone_spend</t>
  </si>
  <si>
    <t>External Interface!B11</t>
  </si>
  <si>
    <t>Max annual spend at 75% confidence — the mathematical limit of plan capacity</t>
  </si>
  <si>
    <t>Your Datum</t>
  </si>
  <si>
    <t>datum_spend</t>
  </si>
  <si>
    <t>External Interface!B7</t>
  </si>
  <si>
    <t>User's chosen target spend — the fixed reference point everything is measured from</t>
  </si>
  <si>
    <t>Survival Floor [FIXED]</t>
  </si>
  <si>
    <t>bedrock_spend</t>
  </si>
  <si>
    <t>External Interface!B8</t>
  </si>
  <si>
    <t>Max annual spend surviving ALL historical stress scenarios (1929 / 1970s stagflation / Japan Lost Decade / reverse best sequence / current env). The FIXED floor — does not move when stress levers move. Per index.html line 1586.</t>
  </si>
  <si>
    <t>Foundation (engineering alias)</t>
  </si>
  <si>
    <t>foundation_spend</t>
  </si>
  <si>
    <t>External Interface!B9</t>
  </si>
  <si>
    <t>Max annual spend at 95% confidence. INTERNAL ENGINEERING ONLY — not surfaced in user-facing UI. Per index.html the public "Survival Floor" is wired to bedrock, not foundation.</t>
  </si>
  <si>
    <t>Keystone (engineering alias)</t>
  </si>
  <si>
    <t>keystone_spend</t>
  </si>
  <si>
    <t>External Interface!B10</t>
  </si>
  <si>
    <t>Max annual spend at 90% confidence. INTERNAL ENGINEERING ONLY — not surfaced in user-facing UI anywhere. Do NOT introduce into public copy.</t>
  </si>
  <si>
    <t>Required Estate at Ceiling</t>
  </si>
  <si>
    <t>required_estate_structural_ceiling</t>
  </si>
  <si>
    <t>External Interface!B86</t>
  </si>
  <si>
    <t>Portfolio needed to sustain Ceiling spend (via 4% SWR)</t>
  </si>
  <si>
    <t>Required Estate at Datum</t>
  </si>
  <si>
    <t>required_estate_datum</t>
  </si>
  <si>
    <t>External Interface!B80</t>
  </si>
  <si>
    <t>Portfolio needed to sustain Datum spend (via 4% SWR)</t>
  </si>
  <si>
    <t>Required Estate at Floor</t>
  </si>
  <si>
    <t>required_estate_survival_floor</t>
  </si>
  <si>
    <t>External Interface!B85</t>
  </si>
  <si>
    <t>Portfolio needed to sustain Floor spend (via 4% SWR)</t>
  </si>
  <si>
    <t>Est. Legacy at Datum</t>
  </si>
  <si>
    <t>legacy_at_datum</t>
  </si>
  <si>
    <t>External Interface!B66</t>
  </si>
  <si>
    <t>Median projected terminal portfolio at Datum spend (4.72% blended real return)</t>
  </si>
  <si>
    <t>Est. Legacy at Floor</t>
  </si>
  <si>
    <t>legacy_at_foundation</t>
  </si>
  <si>
    <t>External Interface!B68</t>
  </si>
  <si>
    <t>Median projected terminal portfolio at Floor spend</t>
  </si>
  <si>
    <t>Est. Legacy at Ceiling</t>
  </si>
  <si>
    <t>legacy_at_capstone</t>
  </si>
  <si>
    <t>External Interface!B70</t>
  </si>
  <si>
    <t>Median projected terminal portfolio at Ceiling spend</t>
  </si>
  <si>
    <t>Survival Rate at Datum</t>
  </si>
  <si>
    <t>datum_survival_blended</t>
  </si>
  <si>
    <t>External Interface!B27</t>
  </si>
  <si>
    <t>Blended survival rate across 4 MC models at Datum spend</t>
  </si>
  <si>
    <t>Model Weights (CAPE-Dynamic)</t>
  </si>
  <si>
    <t>15/15/40/30</t>
  </si>
  <si>
    <t>FloorPlan Output!B6:B9</t>
  </si>
  <si>
    <t>Parametric/Bootstrap/CAPE/Regime weighting at current CAPE &gt;35</t>
  </si>
  <si>
    <t>— SHEET NAME ALIASES —</t>
  </si>
  <si>
    <t>Web Engine / Calculation Core</t>
  </si>
  <si>
    <t>FloorPlan Output</t>
  </si>
  <si>
    <t>Sheet: FloorPlan Output</t>
  </si>
  <si>
    <t>Engineering sheet that blends 4 MC models into The Range. Not user-facing.</t>
  </si>
  <si>
    <t>The Range (concept)</t>
  </si>
  <si>
    <t>SECTION 5 of FloorPlan Output</t>
  </si>
  <si>
    <t>FloorPlan Output!A49:F56</t>
  </si>
  <si>
    <t>The five tiers (Bedrock/Foundation/Datum/Keystone/Capstone) that collectively form 'The Range'</t>
  </si>
  <si>
    <t>Web App Data Contract</t>
  </si>
  <si>
    <t>External Interface</t>
  </si>
  <si>
    <t>Sheet: External Interface</t>
  </si>
  <si>
    <t>The ONLY sheet the web app reads from. All keys are formula-referenced from authoritative sources.</t>
  </si>
  <si>
    <t>═══ USAGE RULES ═══</t>
  </si>
  <si>
    <t>1. All web app pages, copy, and user-facing surfaces use WEBSITE TERMS (left column) exclusively.</t>
  </si>
  <si>
    <t>2. Claude prompts referencing workbook values must cite the Authoritative Cell (column C), not hardcoded values.</t>
  </si>
  <si>
    <t>3. Workbook backend terms (Foundation/Keystone/Capstone/Bedrock) remain in place — they are not renamed. This sheet documents the translation.</t>
  </si>
  <si>
    <t>4. Philosophy Copy (Original) sheet contains the brand's constitutional text that established website terms as the native vocabulary. Reference before any copy decision.</t>
  </si>
  <si>
    <t>5. When adding new keys to External Interface, add a row here documenting website-facing term + engineering alias + cell + description.</t>
  </si>
  <si>
    <t>⚠️ DEPRECATED PUBLIC TERMS — INTERNAL USE ONLY — DO NOT SURFACE IN COPY</t>
  </si>
  <si>
    <t>Added 4/19/2026 after vocabulary reconciliation session. These terms exist in the Python engine + External Interface + workbook but MUST NOT appear in any user-facing DOM, copy, marketing, or documentation. The website speaks in three terms only: Structural Ceiling / Your DATUM / Survival Floor.</t>
  </si>
  <si>
    <t>Deprecated Term</t>
  </si>
  <si>
    <t>Internal Meaning</t>
  </si>
  <si>
    <t>Public Equivalent</t>
  </si>
  <si>
    <t>Evidence (index.html)</t>
  </si>
  <si>
    <t>Why Never Use Publicly</t>
  </si>
  <si>
    <t>Capstone</t>
  </si>
  <si>
    <t>75% confidence max spend = mathematical plan capacity</t>
  </si>
  <si>
    <t>Line 1584: $("val-capstone") rendered inside id="lbl-ceiling" class="tier-ceiling" with copy "Structural Ceiling"</t>
  </si>
  <si>
    <t>Architectural jargon. "Structural Ceiling" is clearer and matches the doctrine of measurement-without-mystique.</t>
  </si>
  <si>
    <t>Bedrock</t>
  </si>
  <si>
    <t>Survives-all-stress-scenarios max spend</t>
  </si>
  <si>
    <t>Line 1586: $("val-bedrock") rendered inside id="lbl-floor" class="tier-floor" with copy "Survival Floor" + FIXED badge (line 992)</t>
  </si>
  <si>
    <t>"Bedrock" is the engineering name. "Survival Floor" + FIXED badge is what users see and understand instantly.</t>
  </si>
  <si>
    <t>Foundation</t>
  </si>
  <si>
    <t>95% confidence max spend</t>
  </si>
  <si>
    <t>— NOT DISPLAYED —</t>
  </si>
  <si>
    <t>Not rendered in any tier-label on index.html. Only appears in Show Math section (line 1771)</t>
  </si>
  <si>
    <t>Neither a public tier nor a synonym for Survival Floor. Reserved for engine diagnostics only.</t>
  </si>
  <si>
    <t>Keystone</t>
  </si>
  <si>
    <t>90% confidence max spend (the "recommended" tier internally)</t>
  </si>
  <si>
    <t>Not rendered in any tier-label on index.html. Only in Show Math section (line 1773)</t>
  </si>
  <si>
    <t>Could confuse users into thinking there are more tiers than the three shown. Intentionally hidden from public UI.</t>
  </si>
  <si>
    <t>═══ RULE OF THUMB FOR FUTURE CLAUDE SESSIONS ═══</t>
  </si>
  <si>
    <t>If you see "Keystone" or "Capstone" or "Bedrock" or "Foundation" in any prompt, code, or request involving user-facing copy, STOP and ask. 99% of the time the correct action is to translate to the three public terms before writing code. The only place these deprecated terms legitimately appear is: External Interface sheet, Python engine internals, Action Items &amp; Dashboard, and this reference sheet.</t>
  </si>
  <si>
    <t>═══ VERIFICATION CHECKLIST BEFORE USER-FACING COPY CHANGES ═══</t>
  </si>
  <si>
    <t>1. Does the copy use any of: Keystone, Bedrock, Foundation, Capstone? → If yes, stop. Translate.</t>
  </si>
  <si>
    <t>2. Does the copy mention a tier? → It must be one of: Structural Ceiling, Your DATUM, Survival Floor.</t>
  </si>
  <si>
    <t>3. Does the Floor have a FIXED badge? → It should. Per index.html line 992.</t>
  </si>
  <si>
    <t>4. Does the Ceiling use 75% confidence language? → Should say "mathematical limit" / "capacity", not "recommended".</t>
  </si>
  <si>
    <t>5. Is legacy/required-estate using 4% SWR (× 25)? → Per index.html line 1730: formatM(CAPSTONE * 25).</t>
  </si>
  <si>
    <t>🎯 SKETCH DOCTRINE LOCK — Cross-Screen Capital &amp; Spending Math (Captain locked 2026-05-25)</t>
  </si>
  <si>
    <t>Provenance: Captain doctrine articulation 2026-05-25 ~7:30 PM ET · Engine source-of-truth Sketch Raw Code L2942-2946 · Terminology Reference rows 11-13 (Required Estate at Floor/Datum/Ceiling = portfolio / 4% SWR) · supersedes Phase 2 path-aware Datum capital deploy 2026-05-16 commit 70285b1</t>
  </si>
  <si>
    <t>THE SIX RULES</t>
  </si>
  <si>
    <t>Rule</t>
  </si>
  <si>
    <t>Plain Meaning</t>
  </si>
  <si>
    <t>Math</t>
  </si>
  <si>
    <t>Floor = dual presentation: portfolio projection + yearly spending capacity</t>
  </si>
  <si>
    <t>Your portfolio projects $X on the conservative path · sustains $Y/yr</t>
  </si>
  <si>
    <t>capital = fvCon · yearly = fvCon × wrCon (engine-tuned)</t>
  </si>
  <si>
    <t>Engine L2942</t>
  </si>
  <si>
    <t>Ceiling = dual presentation: portfolio projection + yearly spending capacity</t>
  </si>
  <si>
    <t>Your portfolio projects $X on the upside path · sustains $Y/yr</t>
  </si>
  <si>
    <t>capital = fvUp · yearly = fvUp × wrUp (engine-tuned)</t>
  </si>
  <si>
    <t>Engine L2943</t>
  </si>
  <si>
    <t>Datum = dual presentation: yearly spending the user WANTS + capital that spending REQUIRES at 4% SWR</t>
  </si>
  <si>
    <t>You want $Y/yr · which requires $X to sustain at 4%</t>
  </si>
  <si>
    <t>yearly = targetSpend · capital = targetSpend / 0.04</t>
  </si>
  <si>
    <t>Terminology Ref row 12</t>
  </si>
  <si>
    <t>One canonical 4% SWR rule for "required capital from spending" math</t>
  </si>
  <si>
    <t>Applies to Datum required-capital surfacing across all screens</t>
  </si>
  <si>
    <t>requiredCapital = spending / 0.04 (= spending × 25)</t>
  </si>
  <si>
    <t>Terminology Ref row 46</t>
  </si>
  <si>
    <t>Path-tuned growth + path-tuned withdrawal rates STAY in engine for cone generation</t>
  </si>
  <si>
    <t>Engine unchanged · stop using fvBase as fake Datum capital</t>
  </si>
  <si>
    <t>wrCon ramps 4%→2.8% · wrUp ramps 4%→5% — tunes the CONE, not required-capital</t>
  </si>
  <si>
    <t>Engine L2942-2946</t>
  </si>
  <si>
    <t>No path-switched math anywhere user-facing — kill L4207-4211 three-branch Datum capital</t>
  </si>
  <si>
    <t>Datum capital = datumSpend / 0.04 — position-independent, state-independent</t>
  </si>
  <si>
    <t>Removes ABU/OE/else branching from Screen 1 HUD</t>
  </si>
  <si>
    <t>Bug source</t>
  </si>
  <si>
    <t>THE 3 DOCTRINE HOVER STRINGS — used wherever Floor / Datum / Ceiling appear with hover infrastructure</t>
  </si>
  <si>
    <t>Term</t>
  </si>
  <si>
    <t>Doctrine Hover String (Captain locked)</t>
  </si>
  <si>
    <t>Source Surface</t>
  </si>
  <si>
    <t>Math Behind</t>
  </si>
  <si>
    <t>Survival Floor</t>
  </si>
  <si>
    <t>Survival Floor — the portfolio your conservative path projects, and the yearly spending it could sustain.</t>
  </si>
  <si>
    <t>Screen 1/2/3 HUDs + SVG tooltip + all positions</t>
  </si>
  <si>
    <t>fvCon + (fvCon × wrCon)</t>
  </si>
  <si>
    <t>Projection + sustainable yearly</t>
  </si>
  <si>
    <t>Target Datum</t>
  </si>
  <si>
    <t>Target Datum — the yearly spending you want in retirement, and the total capital needed to make that spending possible.</t>
  </si>
  <si>
    <t>targetSpend + (targetSpend / 0.04)</t>
  </si>
  <si>
    <t>Chosen spending + required capital at 4% SWR</t>
  </si>
  <si>
    <t>Structural Ceiling — the portfolio your upside path projects, and the yearly spending it could sustain.</t>
  </si>
  <si>
    <t>fvUp + (fvUp × wrUp)</t>
  </si>
  <si>
    <t>CROSS-SCREEN CONSISTENCY CHECK — OVEREXTENDED test case from Captain DevTools 2026-05-25</t>
  </si>
  <si>
    <t>Floor (cap / yr)</t>
  </si>
  <si>
    <t>Datum (cap / yr)</t>
  </si>
  <si>
    <t>Ceiling (cap / yr)</t>
  </si>
  <si>
    <t>Status under locked doctrine</t>
  </si>
  <si>
    <t>Screen 1 HUD</t>
  </si>
  <si>
    <t>$1.0M / $41k</t>
  </si>
  <si>
    <t>$9.4M / $375k</t>
  </si>
  <si>
    <t>$4.1M / $166k</t>
  </si>
  <si>
    <t>NEEDS FIX — L4207-4211 path-switched _datumCapM removed</t>
  </si>
  <si>
    <t>Screen 2 HUD Discover (Have $375k)</t>
  </si>
  <si>
    <t>NEEDS FIX — L6348 swap fvBase → targetSpend/0.04</t>
  </si>
  <si>
    <t>Screen 2 HUD Designed (Want $177k)</t>
  </si>
  <si>
    <t>$4.4M / $177k</t>
  </si>
  <si>
    <t>NEEDS FIX — L6349 swap fvBase → targetSpend/0.04</t>
  </si>
  <si>
    <t>Screen 3 Card 3 stat strip Have row</t>
  </si>
  <si>
    <t>PARTIAL — Floor/Ceiling correct · Datum needs fix</t>
  </si>
  <si>
    <t>Screen 3 Card 3 stat strip Want row</t>
  </si>
  <si>
    <t>Screen 3 prose 66 strings</t>
  </si>
  <si>
    <t>$9.4M or $4.4M via {dDatumReqM}/{gbDatumReqM}</t>
  </si>
  <si>
    <t>NEEDS FIX — 66-string find/replace using Column I</t>
  </si>
  <si>
    <t>SVG cone Datum tooltip</t>
  </si>
  <si>
    <t>datumSpend / 0.04</t>
  </si>
  <si>
    <t>NEEDS FIX — L5325 / L8848</t>
  </si>
  <si>
    <t>9-WORKSTREAM CLAUDE DISPATCH SCOPE — one bundled dispatch</t>
  </si>
  <si>
    <t>WS</t>
  </si>
  <si>
    <t>Math Change</t>
  </si>
  <si>
    <t>Copy Change</t>
  </si>
  <si>
    <t>Lines</t>
  </si>
  <si>
    <t>A</t>
  </si>
  <si>
    <t>Screen 1 HUD Datum row + Datum hover</t>
  </si>
  <si>
    <t>L4207-4214 _datumCapM → datumSpend/0.04</t>
  </si>
  <si>
    <t>YES — 3 hover strings → 1 doctrine string</t>
  </si>
  <si>
    <t>L4207-4214 + hover JS</t>
  </si>
  <si>
    <t>B</t>
  </si>
  <si>
    <t>Screen 1 HUD Ceiling hover + Floor hover</t>
  </si>
  <si>
    <t>None (math already correct)</t>
  </si>
  <si>
    <t>YES — replace methodology strings with doctrine strings</t>
  </si>
  <si>
    <t>Hover JS only</t>
  </si>
  <si>
    <t>C</t>
  </si>
  <si>
    <t>Screen 1 SVG cone Datum tooltip</t>
  </si>
  <si>
    <t>L5325 datumCapM fvBase fallback → datumSpend/0.04</t>
  </si>
  <si>
    <t>NO (uses computed values)</t>
  </si>
  <si>
    <t>L5325</t>
  </si>
  <si>
    <t>D</t>
  </si>
  <si>
    <t>Screen 2 HUD Target Datum Discover + Designed</t>
  </si>
  <si>
    <t>L6348 gbEnd.fvBase → gb.targetSpend/0.04 · L6349 ptsEnd.fvBase → s.targetSpend/0.04</t>
  </si>
  <si>
    <t>NO (just values)</t>
  </si>
  <si>
    <t>L6348-L6349</t>
  </si>
  <si>
    <t>E</t>
  </si>
  <si>
    <t>Screen 2 HUD all 6 hovers (Floor/Datum/Ceiling × Discover/Designed)</t>
  </si>
  <si>
    <t>None</t>
  </si>
  <si>
    <t>YES — add/replace doctrine hover strings</t>
  </si>
  <si>
    <t>Hover JS</t>
  </si>
  <si>
    <t>F</t>
  </si>
  <si>
    <t>Screen 3 Card 3 stat strip Datum column (Have + Want)</t>
  </si>
  <si>
    <t>Datum column capital → datumSpend/0.04</t>
  </si>
  <si>
    <t>Strip JS write site</t>
  </si>
  <si>
    <t>G</t>
  </si>
  <si>
    <t>Screen 3 Card 3 stat strip hovers (3 cols × 2 rows = 6)</t>
  </si>
  <si>
    <t>YES — add doctrine hover strings if infrastructure exists</t>
  </si>
  <si>
    <t>Stat strip HTML/JS</t>
  </si>
  <si>
    <t>H</t>
  </si>
  <si>
    <t>Screen 3 Card 3 prose 66 strings</t>
  </si>
  <si>
    <t>Add {dDatumReqM}/{gbDatumReqM} tokens to _usd3HaveVars/_usd3WantVars (L6793-6800)</t>
  </si>
  <si>
    <t>YES — 66-string find/replace using Column I locked content</t>
  </si>
  <si>
    <t>L6793-6800 + _S3 registry L7945-8595</t>
  </si>
  <si>
    <t>I</t>
  </si>
  <si>
    <t>Methodology page (DEFERRED separate dispatch)</t>
  </si>
  <si>
    <t>YES — surgical rewrite separating cone-generation doctrine from required-capital doctrine</t>
  </si>
  <si>
    <t>methodology section</t>
  </si>
  <si>
    <t>BANNED ANTI-DOCTRINE — do not reintroduce</t>
  </si>
  <si>
    <t>Anti-Pattern</t>
  </si>
  <si>
    <t>Why Banned</t>
  </si>
  <si>
    <t>Originated</t>
  </si>
  <si>
    <t>Replaced By</t>
  </si>
  <si>
    <t>Path-switched Datum capital (ABU = ratio×fvCon · OE = ratio×fvUp · else = fvBase)</t>
  </si>
  <si>
    <t>Creates 3 different doctrines depending on state · same Datum produces different "required" numbers · contradicts Terminology Ref row 12</t>
  </si>
  <si>
    <t>2026-05-16 commit 70285b1</t>
  </si>
  <si>
    <t>datumSpend / 0.04 (position-independent, state-independent)</t>
  </si>
  <si>
    <t>fvBase used as Datum "required capital"</t>
  </si>
  <si>
    <t>fvBase is projection of portfolio · Datum-INDEPENDENT · same number regardless of user Datum · surfaces as identical $2.75M for $30k AND $375k Datum</t>
  </si>
  <si>
    <t>Pre-Phase-2 logic</t>
  </si>
  <si>
    <t>datumSpend / 0.04 (Datum-driven required capital)</t>
  </si>
  <si>
    <t>"4% baseline withdrawal rate" disclosure in 66 prose strings</t>
  </si>
  <si>
    <t>Jargon · not plainspeak · 4% mechanic belongs in methodology + hover</t>
  </si>
  <si>
    <t>Column I R2.A.D first pass 2026-05-25</t>
  </si>
  <si>
    <t>Stripped 2026-05-25 · disclosure in methodology page + hover doctrine strings</t>
  </si>
  <si>
    <t>Path-tuned withdrawal rates (2.8% Floor · 5% Ceiling) applied to "required capital" math</t>
  </si>
  <si>
    <t>Conflates (1) what spending a path can SUSTAIN vs (2) what capital a spending choice REQUIRES · creates cross-screen inconsistency</t>
  </si>
  <si>
    <t>Methodology page · current live</t>
  </si>
  <si>
    <t>KEEP for cone generation · DO NOT USE for required-capital math (always flat 4% SWR)</t>
  </si>
  <si>
    <t>Word "envelope" in any prose</t>
  </si>
  <si>
    <t>Captain prohibition · evokes physical mail · users misread</t>
  </si>
  <si>
    <t>Generic draft suggestion</t>
  </si>
  <si>
    <t>Use "shape", "spread", "range", "frame" instead</t>
  </si>
  <si>
    <t>═══ Q-J EVIDENCE ADDENDUM (2026-05-25 ~8:30 PM ET) ═══</t>
  </si>
  <si>
    <t>Verified Line Numbers (from Claude Q-J1-J7 diagnostic)</t>
  </si>
  <si>
    <t>Workstream</t>
  </si>
  <si>
    <t>Line(s)</t>
  </si>
  <si>
    <t>WS-A value</t>
  </si>
  <si>
    <t>S1 HUD Datum value (kill 3-branch _datumCapM)</t>
  </si>
  <si>
    <t>L4208-4214</t>
  </si>
  <si>
    <t>ACTIVE in bundled scope</t>
  </si>
  <si>
    <t>WS-A hover</t>
  </si>
  <si>
    <t>S1 HUD Datum hover (collapse 3-branch JS to doctrine string)</t>
  </si>
  <si>
    <t>L3988-3996</t>
  </si>
  <si>
    <t>WS-B Ceiling</t>
  </si>
  <si>
    <t>S1 HUD Ceiling hover (static HTML → doctrine string)</t>
  </si>
  <si>
    <t>L1542</t>
  </si>
  <si>
    <t>WS-B Floor</t>
  </si>
  <si>
    <t>S1 HUD Floor hover (static HTML → doctrine string)</t>
  </si>
  <si>
    <t>L1550</t>
  </si>
  <si>
    <t>WS-C</t>
  </si>
  <si>
    <t>S1 SVG Datum tooltip (kill 3-branch _datumCapM)</t>
  </si>
  <si>
    <t>L5325-5330</t>
  </si>
  <si>
    <t>WS-D S2 HUD</t>
  </si>
  <si>
    <t>S2 HUD Datum Discover + Designed (fvBase → datum/0.04)</t>
  </si>
  <si>
    <t>L6348, L6349</t>
  </si>
  <si>
    <t>WS-D S2 SVG</t>
  </si>
  <si>
    <t>S2 SVG Datum tooltip (pts.fvBase → pts.datumSpend/0.04) — ADDED to WS-D per Captain</t>
  </si>
  <si>
    <t>L8848</t>
  </si>
  <si>
    <t>WS-F</t>
  </si>
  <si>
    <t>S3 strip Datum HAVE + WANT (fmtAT → explicit datumSpend/0.04) — TIME-BOMB FIX</t>
  </si>
  <si>
    <t>L8682, L8693</t>
  </si>
  <si>
    <t>WS-H tokens</t>
  </si>
  <si>
    <t>Template vars dDatumReqM + gbDatumReqM added to L6793-6800 bundles</t>
  </si>
  <si>
    <t>L6795, L6799</t>
  </si>
  <si>
    <t>WS-H prose</t>
  </si>
  <si>
    <t>66-string find/replace from Datum FI Copy System V11 Column I content</t>
  </si>
  <si>
    <t>_S3 registry</t>
  </si>
  <si>
    <t>ACTIVE — STEP 2 after V11 paste</t>
  </si>
  <si>
    <t>═══ DEFERRED WORKSTREAMS (Captain decision 2026-05-25 ~8:30 PM ET) ═══</t>
  </si>
  <si>
    <t>WS-E</t>
  </si>
  <si>
    <t>S2 HUD hover infrastructure (no DOM/IDs/tooltip elements exist) — build requires 30-50 lines new code</t>
  </si>
  <si>
    <t>Phase D.5 follow-up</t>
  </si>
  <si>
    <t>DEFERRED — ships AFTER Captain DevTools verify on 8-surface bundle</t>
  </si>
  <si>
    <t>WS-G</t>
  </si>
  <si>
    <t>S3 stat strip hover infrastructure (no DOM/IDs exist on 6 cells) — build requires 30-50 lines new code</t>
  </si>
  <si>
    <t>Doctrine reasoning</t>
  </si>
  <si>
    <t>Hovers are net-new feature additions, not doctrine-correctness fixes. Doctrine is mathematically complete via S1 HUD hovers (only existing infra). Risk discipline: bundle 8 surgical fixes first, verify, then layer hover infra as separate dispatch.</t>
  </si>
  <si>
    <t>═══ fmtAT TIME-BOMB FINDING (DJ:NEW 2026-05-25) ═══</t>
  </si>
  <si>
    <t>Discovery</t>
  </si>
  <si>
    <t>fmtAT(v) = v × yrsInRetire at L8674 is INCIDENTALLY equal to v/0.04 only when yrsInRetire=25 (default lifeAge=90, retireAge=65). If user adjusts lifeAge=85, yrsInRetire=20, Datum capital shows v×20 — silent doctrine breach. Explicit datumSpend/0.04 formula immunizes from any lifeAge change. fmtAT stays correct for Ceiling/Floor (their doctrine IS yrsInRetire-tuned per engine wrCon/wrUp ramp). Doctrine: explicit formula at doctrine-critical surfaces; helper functions only where their math matches the doctrine.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</si>
</sst>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53" x14ac:knownFonts="1">
    <font>
      <sz val="11"/>
      <color theme="1"/>
      <name val="Calibri"/>
      <family val="2"/>
      <scheme val="minor"/>
    </font>
    <font>
      <b/>
      <sz val="16"/>
      <color rgb="FFFFFFFF"/>
      <name val="Calibri"/>
      <family val="2"/>
    </font>
    <font>
      <b/>
      <sz val="12"/>
      <color rgb="FFFFFFFF"/>
      <name val="Calibri"/>
      <family val="2"/>
    </font>
    <font>
      <sz val="11"/>
      <name val="Calibri"/>
      <family val="2"/>
    </font>
    <font>
      <b/>
      <sz val="11"/>
      <color rgb="FFFFFFFF"/>
      <name val="Calibri"/>
      <family val="2"/>
    </font>
    <font>
      <b/>
      <sz val="11"/>
      <name val="Calibri"/>
      <family val="2"/>
    </font>
    <font>
      <b/>
      <sz val="11"/>
      <name val="Courier New"/>
      <family val="3"/>
    </font>
    <font>
      <b/>
      <sz val="9"/>
      <color rgb="FFFFFFFF"/>
      <name val="Calibri"/>
      <family val="2"/>
    </font>
    <font>
      <b/>
      <sz val="9"/>
      <color rgb="FF000000"/>
      <name val="Calibri"/>
      <family val="2"/>
    </font>
    <font>
      <b/>
      <sz val="14"/>
      <color rgb="FFFFFFFF"/>
      <name val="Calibri"/>
      <family val="2"/>
    </font>
    <font>
      <i/>
      <sz val="10"/>
      <color rgb="FF000000"/>
      <name val="Calibri"/>
      <family val="2"/>
    </font>
    <font>
      <b/>
      <sz val="10"/>
      <color rgb="FFFFFFFF"/>
      <name val="Calibri"/>
      <family val="2"/>
    </font>
    <font>
      <sz val="10"/>
      <color rgb="FF000000"/>
      <name val="Calibri"/>
      <family val="2"/>
    </font>
    <font>
      <sz val="10"/>
      <color rgb="FF000000"/>
      <name val="Courier New"/>
      <family val="3"/>
    </font>
    <font>
      <i/>
      <sz val="10"/>
      <name val="Calibri"/>
      <family val="2"/>
    </font>
    <font>
      <sz val="10"/>
      <name val="Calibri"/>
      <family val="2"/>
    </font>
    <font>
      <b/>
      <sz val="13"/>
      <color rgb="FFFFFFFF"/>
      <name val="Calibri"/>
      <family val="2"/>
    </font>
    <font>
      <i/>
      <sz val="9"/>
      <color rgb="FF000000"/>
      <name val="Calibri"/>
      <family val="2"/>
    </font>
    <font>
      <b/>
      <sz val="14"/>
      <color rgb="FF0C1524"/>
      <name val="Calibri"/>
      <family val="2"/>
    </font>
    <font>
      <b/>
      <sz val="11"/>
      <color rgb="FF0C1524"/>
      <name val="Calibri"/>
      <family val="2"/>
    </font>
    <font>
      <b/>
      <sz val="11"/>
      <color rgb="FFFFFFFF"/>
      <name val="Calibri"/>
      <family val="2"/>
    </font>
    <font>
      <i/>
      <sz val="10"/>
      <color rgb="FFFFFFFF"/>
      <name val="Calibri"/>
      <family val="2"/>
    </font>
    <font>
      <b/>
      <sz val="11"/>
      <color rgb="FFFFFFFF"/>
      <name val="Calibri"/>
      <family val="2"/>
    </font>
    <font>
      <i/>
      <sz val="10"/>
      <color rgb="FFFFFFFF"/>
      <name val="Calibri"/>
      <family val="2"/>
    </font>
    <font>
      <b/>
      <sz val="10"/>
      <color rgb="FFFFFFFF"/>
      <name val="Calibri"/>
      <family val="2"/>
    </font>
    <font>
      <sz val="10"/>
      <color rgb="FF000000"/>
      <name val="Calibri"/>
      <family val="2"/>
    </font>
    <font>
      <i/>
      <sz val="10"/>
      <color rgb="FF000000"/>
      <name val="Calibri"/>
      <family val="2"/>
    </font>
    <font>
      <b/>
      <sz val="13"/>
      <color rgb="FFFFFFFF"/>
      <name val="Calibri"/>
      <family val="2"/>
    </font>
    <font>
      <sz val="10"/>
      <color rgb="FFFFFFFF"/>
      <name val="Calibri"/>
      <family val="2"/>
    </font>
    <font>
      <sz val="10"/>
      <color rgb="FF000000"/>
      <name val="Calibri"/>
      <family val="2"/>
    </font>
    <font>
      <b/>
      <sz val="11"/>
      <color rgb="FFFFFFFF"/>
      <name val="Calibri"/>
      <family val="2"/>
    </font>
    <font>
      <b/>
      <sz val="10"/>
      <color rgb="FFFFFFFF"/>
      <name val="Calibri"/>
      <family val="2"/>
      <scheme val="minor"/>
    </font>
    <font>
      <b/>
      <sz val="12"/>
      <color rgb="FFFFFFFF"/>
      <name val="Calibri"/>
      <family val="2"/>
      <scheme val="minor"/>
    </font>
    <font>
      <i/>
      <sz val="11"/>
      <color theme="1"/>
      <name val="Calibri"/>
      <family val="2"/>
      <scheme val="minor"/>
    </font>
    <font>
      <b/>
      <sz val="11"/>
      <color rgb="FFFFFFFF"/>
      <name val="Calibri"/>
      <family val="2"/>
      <scheme val="minor"/>
    </font>
    <font>
      <sz val="9"/>
      <color theme="1"/>
      <name val="Calibri"/>
      <family val="2"/>
      <scheme val="minor"/>
    </font>
    <font>
      <b/>
      <sz val="9"/>
      <color theme="1"/>
      <name val="Calibri"/>
      <family val="2"/>
      <scheme val="minor"/>
    </font>
    <font>
      <sz val="8"/>
      <name val="Georgia"/>
      <family val="1"/>
    </font>
    <font>
      <b/>
      <sz val="11"/>
      <color theme="1"/>
      <name val="Calibri"/>
      <family val="2"/>
      <scheme val="minor"/>
    </font>
    <font>
      <b/>
      <sz val="10"/>
      <color rgb="FFFFD580"/>
      <name val="Calibri"/>
      <family val="2"/>
      <scheme val="minor"/>
    </font>
    <font>
      <sz val="10"/>
      <color theme="1"/>
      <name val="Calibri"/>
      <family val="2"/>
      <scheme val="minor"/>
    </font>
    <font>
      <b/>
      <sz val="11"/>
      <color rgb="FF091221"/>
      <name val="Calibri"/>
      <family val="2"/>
      <scheme val="minor"/>
    </font>
    <font>
      <b/>
      <sz val="10"/>
      <name val="Calibri"/>
      <family val="2"/>
    </font>
    <font>
      <b/>
      <sz val="10"/>
      <color rgb="FF008000"/>
      <name val="Calibri"/>
      <family val="2"/>
    </font>
    <font>
      <b/>
      <sz val="14"/>
      <color theme="1"/>
      <name val="Calibri"/>
      <family val="2"/>
      <scheme val="minor"/>
    </font>
    <font>
      <i/>
      <strike/>
      <sz val="10"/>
      <color rgb="FF999999"/>
      <name val="Calibri"/>
      <family val="2"/>
    </font>
    <font>
      <b/>
      <sz val="10"/>
      <color rgb="FFCC0000"/>
      <name val="Calibri"/>
      <family val="2"/>
    </font>
    <font>
      <i/>
      <sz val="11"/>
      <color rgb="FF1F2A44"/>
      <name val="Calibri"/>
      <family val="2"/>
      <scheme val="minor"/>
    </font>
    <font>
      <i/>
      <sz val="10"/>
      <color theme="1"/>
      <name val="Calibri"/>
      <family val="2"/>
      <scheme val="minor"/>
    </font>
    <font>
      <b/>
      <sz val="10"/>
      <color theme="1"/>
      <name val="Calibri"/>
      <family val="2"/>
      <scheme val="minor"/>
    </font>
    <font>
      <i/>
      <sz val="9"/>
      <color theme="1"/>
      <name val="Calibri"/>
      <family val="2"/>
      <scheme val="minor"/>
    </font>
    <font>
      <sz val="9"/>
      <color theme="1"/>
      <name val="Consolas"/>
      <family val="3"/>
    </font>
    <font>
      <b/>
      <sz val="14"/>
      <color rgb="FFFFFFFF"/>
      <name val="Calibri"/>
      <family val="2"/>
      <scheme val="minor"/>
    </font>
  </fonts>
  <fills count="102">
    <fill>
      <patternFill patternType="none"/>
    </fill>
    <fill>
      <patternFill patternType="gray125"/>
    </fill>
    <fill>
      <patternFill patternType="solid">
        <fgColor rgb="FF0C1524"/>
        <bgColor rgb="FF0C1524"/>
      </patternFill>
    </fill>
    <fill>
      <patternFill patternType="solid">
        <fgColor rgb="FFF4F1E8"/>
        <bgColor rgb="FFF4F1E8"/>
      </patternFill>
    </fill>
    <fill>
      <patternFill patternType="solid">
        <fgColor rgb="FFE8E4D8"/>
        <bgColor rgb="FFE8E4D8"/>
      </patternFill>
    </fill>
    <fill>
      <patternFill patternType="solid">
        <fgColor rgb="FFC8960C"/>
        <bgColor rgb="FFC8960C"/>
      </patternFill>
    </fill>
    <fill>
      <patternFill patternType="solid">
        <fgColor rgb="FF9C0006"/>
        <bgColor rgb="FF9C0006"/>
      </patternFill>
    </fill>
    <fill>
      <patternFill patternType="solid">
        <fgColor rgb="FF0E6B6B"/>
        <bgColor rgb="FF0E6B6B"/>
      </patternFill>
    </fill>
    <fill>
      <patternFill patternType="solid">
        <fgColor rgb="FFFFFFFF"/>
        <bgColor rgb="FFFFFFFF"/>
      </patternFill>
    </fill>
    <fill>
      <patternFill patternType="solid">
        <fgColor rgb="FFE24B4A"/>
        <bgColor rgb="FFE24B4A"/>
      </patternFill>
    </fill>
    <fill>
      <patternFill patternType="solid">
        <fgColor rgb="FFC9A84C"/>
        <bgColor rgb="FFC9A84C"/>
      </patternFill>
    </fill>
    <fill>
      <patternFill patternType="solid">
        <fgColor rgb="FF1A2D47"/>
        <bgColor rgb="FF1A2D47"/>
      </patternFill>
    </fill>
    <fill>
      <patternFill patternType="solid">
        <fgColor rgb="FF182033"/>
        <bgColor rgb="FF182033"/>
      </patternFill>
    </fill>
    <fill>
      <patternFill patternType="solid">
        <fgColor rgb="FF0C1524"/>
      </patternFill>
    </fill>
    <fill>
      <patternFill patternType="solid">
        <fgColor rgb="FF182033"/>
      </patternFill>
    </fill>
    <fill>
      <patternFill patternType="solid">
        <fgColor rgb="FFF4F1E8"/>
      </patternFill>
    </fill>
    <fill>
      <patternFill patternType="solid">
        <fgColor rgb="FFFFFFFF"/>
      </patternFill>
    </fill>
    <fill>
      <patternFill patternType="solid">
        <fgColor rgb="FF0C1524"/>
        <bgColor rgb="FF0C1524"/>
      </patternFill>
    </fill>
    <fill>
      <patternFill patternType="solid">
        <fgColor rgb="FF182033"/>
        <bgColor rgb="FF182033"/>
      </patternFill>
    </fill>
    <fill>
      <patternFill patternType="solid">
        <fgColor rgb="FFF4F1E8"/>
        <bgColor rgb="FFF4F1E8"/>
      </patternFill>
    </fill>
    <fill>
      <patternFill patternType="solid">
        <fgColor rgb="FFFFFFFF"/>
        <bgColor rgb="FFFFFFFF"/>
      </patternFill>
    </fill>
    <fill>
      <patternFill patternType="solid">
        <fgColor rgb="FF1A2D47"/>
        <bgColor rgb="FF1A2D47"/>
      </patternFill>
    </fill>
    <fill>
      <patternFill patternType="solid">
        <fgColor rgb="FF1F2937"/>
        <bgColor indexed="64"/>
      </patternFill>
    </fill>
    <fill>
      <patternFill patternType="solid">
        <fgColor rgb="FF374151"/>
        <bgColor indexed="64"/>
      </patternFill>
    </fill>
    <fill>
      <patternFill patternType="solid">
        <fgColor rgb="FFE5E7EB"/>
        <bgColor indexed="64"/>
      </patternFill>
    </fill>
    <fill>
      <patternFill patternType="solid">
        <fgColor rgb="FF0F766E"/>
        <bgColor indexed="64"/>
      </patternFill>
    </fill>
    <fill>
      <patternFill patternType="solid">
        <fgColor rgb="FFF0FDFA"/>
        <bgColor indexed="64"/>
      </patternFill>
    </fill>
    <fill>
      <patternFill patternType="solid">
        <fgColor rgb="FF134E4A"/>
        <bgColor indexed="64"/>
      </patternFill>
    </fill>
    <fill>
      <patternFill patternType="solid">
        <fgColor rgb="FF7C3AED"/>
        <bgColor indexed="64"/>
      </patternFill>
    </fill>
    <fill>
      <patternFill patternType="solid">
        <fgColor rgb="FFFAF5FF"/>
        <bgColor indexed="64"/>
      </patternFill>
    </fill>
    <fill>
      <patternFill patternType="solid">
        <fgColor rgb="FF581C87"/>
        <bgColor indexed="64"/>
      </patternFill>
    </fill>
    <fill>
      <patternFill patternType="solid">
        <fgColor rgb="FF0369A1"/>
        <bgColor indexed="64"/>
      </patternFill>
    </fill>
    <fill>
      <patternFill patternType="solid">
        <fgColor rgb="FFF0F9FF"/>
        <bgColor indexed="64"/>
      </patternFill>
    </fill>
    <fill>
      <patternFill patternType="solid">
        <fgColor rgb="FF0C4A6E"/>
        <bgColor indexed="64"/>
      </patternFill>
    </fill>
    <fill>
      <patternFill patternType="solid">
        <fgColor rgb="FFB45309"/>
        <bgColor indexed="64"/>
      </patternFill>
    </fill>
    <fill>
      <patternFill patternType="solid">
        <fgColor rgb="FFFFFBEB"/>
        <bgColor indexed="64"/>
      </patternFill>
    </fill>
    <fill>
      <patternFill patternType="solid">
        <fgColor rgb="FF78350F"/>
        <bgColor indexed="64"/>
      </patternFill>
    </fill>
    <fill>
      <patternFill patternType="solid">
        <fgColor rgb="FF7F1D1D"/>
        <bgColor indexed="64"/>
      </patternFill>
    </fill>
    <fill>
      <patternFill patternType="solid">
        <fgColor rgb="FFFEF2F2"/>
        <bgColor indexed="64"/>
      </patternFill>
    </fill>
    <fill>
      <patternFill patternType="solid">
        <fgColor rgb="FF450A0A"/>
        <bgColor indexed="64"/>
      </patternFill>
    </fill>
    <fill>
      <patternFill patternType="solid">
        <fgColor rgb="FF475569"/>
        <bgColor indexed="64"/>
      </patternFill>
    </fill>
    <fill>
      <patternFill patternType="solid">
        <fgColor rgb="FFF1F5F9"/>
        <bgColor indexed="64"/>
      </patternFill>
    </fill>
    <fill>
      <patternFill patternType="solid">
        <fgColor rgb="FF1E293B"/>
        <bgColor indexed="64"/>
      </patternFill>
    </fill>
    <fill>
      <patternFill patternType="solid">
        <fgColor rgb="FF065F46"/>
        <bgColor indexed="64"/>
      </patternFill>
    </fill>
    <fill>
      <patternFill patternType="solid">
        <fgColor rgb="FFD1FAE5"/>
        <bgColor indexed="64"/>
      </patternFill>
    </fill>
    <fill>
      <patternFill patternType="solid">
        <fgColor rgb="FFFFF3CD"/>
        <bgColor indexed="64"/>
      </patternFill>
    </fill>
    <fill>
      <patternFill patternType="solid">
        <fgColor rgb="FFD1E7DD"/>
        <bgColor indexed="64"/>
      </patternFill>
    </fill>
    <fill>
      <patternFill patternType="solid">
        <fgColor rgb="FF0F6FC5"/>
        <bgColor indexed="64"/>
      </patternFill>
    </fill>
    <fill>
      <patternFill patternType="solid">
        <fgColor rgb="FFFFE699"/>
        <bgColor indexed="64"/>
      </patternFill>
    </fill>
    <fill>
      <patternFill patternType="solid">
        <fgColor rgb="FF1F2A38"/>
        <bgColor indexed="64"/>
      </patternFill>
    </fill>
    <fill>
      <patternFill patternType="solid">
        <fgColor rgb="FF2C3E50"/>
        <bgColor indexed="64"/>
      </patternFill>
    </fill>
    <fill>
      <patternFill patternType="solid">
        <fgColor rgb="FF3A5068"/>
        <bgColor indexed="64"/>
      </patternFill>
    </fill>
    <fill>
      <patternFill patternType="solid">
        <fgColor rgb="FFFFE5E5"/>
        <bgColor indexed="64"/>
      </patternFill>
    </fill>
    <fill>
      <patternFill patternType="solid">
        <fgColor rgb="FFE5F5E5"/>
        <bgColor indexed="64"/>
      </patternFill>
    </fill>
    <fill>
      <patternFill patternType="solid">
        <fgColor rgb="FF1D9E75"/>
        <bgColor indexed="64"/>
      </patternFill>
    </fill>
    <fill>
      <patternFill patternType="solid">
        <fgColor rgb="FF5DCAA5"/>
        <bgColor indexed="64"/>
      </patternFill>
    </fill>
    <fill>
      <patternFill patternType="solid">
        <fgColor rgb="FFC9A84C"/>
        <bgColor indexed="64"/>
      </patternFill>
    </fill>
    <fill>
      <patternFill patternType="solid">
        <fgColor rgb="FF2E75B6"/>
        <bgColor indexed="64"/>
      </patternFill>
    </fill>
    <fill>
      <patternFill patternType="solid">
        <fgColor rgb="FF1F4E79"/>
        <bgColor indexed="64"/>
      </patternFill>
    </fill>
    <fill>
      <patternFill patternType="solid">
        <fgColor rgb="FFFFF2CC"/>
        <bgColor indexed="64"/>
      </patternFill>
    </fill>
    <fill>
      <patternFill patternType="solid">
        <fgColor rgb="FFE8F5E9"/>
        <bgColor indexed="64"/>
      </patternFill>
    </fill>
    <fill>
      <patternFill patternType="solid">
        <fgColor rgb="FFD9E1F2"/>
        <bgColor indexed="64"/>
      </patternFill>
    </fill>
    <fill>
      <patternFill patternType="solid">
        <fgColor rgb="FFFCE4D6"/>
        <bgColor indexed="64"/>
      </patternFill>
    </fill>
    <fill>
      <patternFill patternType="solid">
        <fgColor rgb="FFD4EDDA"/>
        <bgColor indexed="64"/>
      </patternFill>
    </fill>
    <fill>
      <patternFill patternType="solid">
        <fgColor rgb="FF0D6EFD"/>
        <bgColor indexed="64"/>
      </patternFill>
    </fill>
    <fill>
      <patternFill patternType="solid">
        <fgColor rgb="FFE2E3E5"/>
        <bgColor indexed="64"/>
      </patternFill>
    </fill>
    <fill>
      <patternFill patternType="solid">
        <fgColor rgb="FFD1ECF1"/>
        <bgColor indexed="64"/>
      </patternFill>
    </fill>
    <fill>
      <patternFill patternType="solid">
        <fgColor rgb="FFFFF3E0"/>
        <bgColor indexed="64"/>
      </patternFill>
    </fill>
    <fill>
      <patternFill patternType="solid">
        <fgColor rgb="FFFFEBEE"/>
        <bgColor indexed="64"/>
      </patternFill>
    </fill>
    <fill>
      <patternFill patternType="solid">
        <fgColor rgb="FFE3F2FD"/>
        <bgColor indexed="64"/>
      </patternFill>
    </fill>
    <fill>
      <patternFill patternType="solid">
        <fgColor rgb="FFFFF9C4"/>
        <bgColor indexed="64"/>
      </patternFill>
    </fill>
    <fill>
      <patternFill patternType="solid">
        <fgColor rgb="FFE1F5FE"/>
        <bgColor indexed="64"/>
      </patternFill>
    </fill>
    <fill>
      <patternFill patternType="solid">
        <fgColor rgb="FFF3E5F5"/>
        <bgColor indexed="64"/>
      </patternFill>
    </fill>
    <fill>
      <patternFill patternType="solid">
        <fgColor rgb="FFFFE0B2"/>
        <bgColor indexed="64"/>
      </patternFill>
    </fill>
    <fill>
      <patternFill patternType="solid">
        <fgColor rgb="FFE0F2F1"/>
        <bgColor indexed="64"/>
      </patternFill>
    </fill>
    <fill>
      <patternFill patternType="solid">
        <fgColor rgb="FF1F2A44"/>
        <bgColor indexed="64"/>
      </patternFill>
    </fill>
    <fill>
      <patternFill patternType="solid">
        <fgColor rgb="FFE8EEF7"/>
        <bgColor indexed="64"/>
      </patternFill>
    </fill>
    <fill>
      <patternFill patternType="solid">
        <fgColor rgb="FF4A5D82"/>
        <bgColor indexed="64"/>
      </patternFill>
    </fill>
    <fill>
      <patternFill patternType="solid">
        <fgColor rgb="FFFCE4EC"/>
        <bgColor indexed="64"/>
      </patternFill>
    </fill>
    <fill>
      <patternFill patternType="solid">
        <fgColor rgb="FFFFE0E6"/>
        <bgColor indexed="64"/>
      </patternFill>
    </fill>
    <fill>
      <patternFill patternType="solid">
        <fgColor rgb="FFFFE9C8"/>
        <bgColor indexed="64"/>
      </patternFill>
    </fill>
    <fill>
      <patternFill patternType="solid">
        <fgColor rgb="FFFFF1D6"/>
        <bgColor indexed="64"/>
      </patternFill>
    </fill>
    <fill>
      <patternFill patternType="solid">
        <fgColor rgb="FFD9F0FF"/>
        <bgColor indexed="64"/>
      </patternFill>
    </fill>
    <fill>
      <patternFill patternType="solid">
        <fgColor rgb="FFE3F4FF"/>
        <bgColor indexed="64"/>
      </patternFill>
    </fill>
    <fill>
      <patternFill patternType="solid">
        <fgColor rgb="FFEDF8FF"/>
        <bgColor indexed="64"/>
      </patternFill>
    </fill>
    <fill>
      <patternFill patternType="solid">
        <fgColor rgb="FFE1F0E0"/>
        <bgColor indexed="64"/>
      </patternFill>
    </fill>
    <fill>
      <patternFill patternType="solid">
        <fgColor rgb="FFEBF5EA"/>
        <bgColor indexed="64"/>
      </patternFill>
    </fill>
    <fill>
      <patternFill patternType="solid">
        <fgColor rgb="FFE8E4F4"/>
        <bgColor indexed="64"/>
      </patternFill>
    </fill>
    <fill>
      <patternFill patternType="solid">
        <fgColor rgb="FFEFEBF8"/>
        <bgColor indexed="64"/>
      </patternFill>
    </fill>
    <fill>
      <patternFill patternType="solid">
        <fgColor rgb="FF1F3A5F"/>
        <bgColor indexed="64"/>
      </patternFill>
    </fill>
    <fill>
      <patternFill patternType="solid">
        <fgColor rgb="FFFFF4E6"/>
        <bgColor indexed="64"/>
      </patternFill>
    </fill>
    <fill>
      <patternFill patternType="solid">
        <fgColor rgb="FF2E5F8F"/>
        <bgColor indexed="64"/>
      </patternFill>
    </fill>
    <fill>
      <patternFill patternType="solid">
        <fgColor rgb="FFD4E5F5"/>
        <bgColor indexed="64"/>
      </patternFill>
    </fill>
    <fill>
      <patternFill patternType="solid">
        <fgColor rgb="FFFCE4E4"/>
        <bgColor indexed="64"/>
      </patternFill>
    </fill>
    <fill>
      <patternFill patternType="solid">
        <fgColor rgb="FFEAF3FB"/>
        <bgColor indexed="64"/>
      </patternFill>
    </fill>
    <fill>
      <patternFill patternType="solid">
        <fgColor rgb="FFF0F0F0"/>
        <bgColor indexed="64"/>
      </patternFill>
    </fill>
    <fill>
      <patternFill patternType="solid">
        <fgColor rgb="FFFAFAFA"/>
        <bgColor indexed="64"/>
      </patternFill>
    </fill>
    <fill>
      <patternFill patternType="solid">
        <fgColor rgb="FFFFF9E6"/>
        <bgColor indexed="64"/>
      </patternFill>
    </fill>
    <fill>
      <patternFill patternType="solid">
        <fgColor rgb="FFFFF4D6"/>
        <bgColor indexed="64"/>
      </patternFill>
    </fill>
    <fill>
      <patternFill patternType="solid">
        <fgColor rgb="FF091221"/>
        <bgColor indexed="64"/>
      </patternFill>
    </fill>
    <fill>
      <patternFill patternType="solid">
        <fgColor rgb="FF8B1A1A"/>
        <bgColor indexed="64"/>
      </patternFill>
    </fill>
    <fill>
      <patternFill patternType="solid">
        <fgColor rgb="FFF5D6D3"/>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A0A0A0"/>
      </left>
      <right style="thin">
        <color rgb="FFA0A0A0"/>
      </right>
      <top style="thin">
        <color rgb="FFA0A0A0"/>
      </top>
      <bottom style="thin">
        <color rgb="FFA0A0A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A0A0A0"/>
      </left>
      <right style="thin">
        <color rgb="FFA0A0A0"/>
      </right>
      <top/>
      <bottom/>
      <diagonal/>
    </border>
  </borders>
  <cellStyleXfs count="1">
    <xf numFmtId="0" fontId="0" fillId="0" borderId="0"/>
  </cellStyleXfs>
  <cellXfs count="317">
    <xf numFmtId="0" fontId="0" fillId="0" borderId="0" xfId="0"/>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5" fillId="3" borderId="5" xfId="0" applyFont="1" applyFill="1" applyBorder="1" applyAlignment="1">
      <alignment wrapText="1"/>
    </xf>
    <xf numFmtId="0" fontId="0" fillId="3" borderId="1" xfId="0" applyFill="1" applyBorder="1" applyAlignment="1">
      <alignment wrapText="1"/>
    </xf>
    <xf numFmtId="0" fontId="0" fillId="3" borderId="6" xfId="0" applyFill="1" applyBorder="1" applyAlignment="1">
      <alignment wrapText="1"/>
    </xf>
    <xf numFmtId="0" fontId="5" fillId="4" borderId="5" xfId="0" applyFont="1" applyFill="1" applyBorder="1" applyAlignment="1">
      <alignment wrapText="1"/>
    </xf>
    <xf numFmtId="0" fontId="0" fillId="4" borderId="1" xfId="0" applyFill="1" applyBorder="1" applyAlignment="1">
      <alignment wrapText="1"/>
    </xf>
    <xf numFmtId="0" fontId="0" fillId="4" borderId="6" xfId="0" applyFill="1" applyBorder="1" applyAlignment="1">
      <alignment wrapText="1"/>
    </xf>
    <xf numFmtId="0" fontId="0" fillId="0" borderId="7" xfId="0" applyBorder="1"/>
    <xf numFmtId="0" fontId="0" fillId="0" borderId="8" xfId="0" applyBorder="1"/>
    <xf numFmtId="0" fontId="0" fillId="0" borderId="9" xfId="0" applyBorder="1"/>
    <xf numFmtId="0" fontId="6" fillId="3" borderId="5" xfId="0" applyFont="1" applyFill="1" applyBorder="1" applyAlignment="1">
      <alignment wrapText="1"/>
    </xf>
    <xf numFmtId="0" fontId="6" fillId="4" borderId="5" xfId="0" applyFont="1" applyFill="1" applyBorder="1" applyAlignment="1">
      <alignment wrapText="1"/>
    </xf>
    <xf numFmtId="0" fontId="6" fillId="3" borderId="7" xfId="0" applyFont="1"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7" fillId="2"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8" fillId="3" borderId="0" xfId="0" applyFont="1" applyFill="1" applyAlignment="1">
      <alignment horizontal="center"/>
    </xf>
    <xf numFmtId="0" fontId="11"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6" xfId="0" applyFont="1" applyFill="1" applyBorder="1" applyAlignment="1">
      <alignment horizontal="center" vertical="center"/>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6" xfId="0" applyFont="1" applyFill="1" applyBorder="1" applyAlignment="1">
      <alignment vertical="top" wrapText="1"/>
    </xf>
    <xf numFmtId="0" fontId="12" fillId="8" borderId="5" xfId="0" applyFont="1" applyFill="1" applyBorder="1" applyAlignment="1">
      <alignment vertical="top" wrapText="1"/>
    </xf>
    <xf numFmtId="0" fontId="12" fillId="8" borderId="1" xfId="0" applyFont="1" applyFill="1" applyBorder="1" applyAlignment="1">
      <alignment vertical="top" wrapText="1"/>
    </xf>
    <xf numFmtId="0" fontId="12" fillId="8" borderId="6" xfId="0" applyFont="1" applyFill="1" applyBorder="1" applyAlignment="1">
      <alignment vertical="top" wrapText="1"/>
    </xf>
    <xf numFmtId="0" fontId="0" fillId="8" borderId="5" xfId="0" applyFill="1" applyBorder="1"/>
    <xf numFmtId="0" fontId="0" fillId="8" borderId="1" xfId="0" applyFill="1" applyBorder="1"/>
    <xf numFmtId="0" fontId="0" fillId="8" borderId="6" xfId="0" applyFill="1" applyBorder="1"/>
    <xf numFmtId="0" fontId="10" fillId="3" borderId="5" xfId="0" applyFont="1" applyFill="1" applyBorder="1" applyAlignment="1">
      <alignment vertical="top" wrapText="1"/>
    </xf>
    <xf numFmtId="0" fontId="10" fillId="3" borderId="1" xfId="0" applyFont="1" applyFill="1" applyBorder="1" applyAlignment="1">
      <alignment vertical="top" wrapText="1"/>
    </xf>
    <xf numFmtId="0" fontId="10" fillId="8" borderId="5" xfId="0" applyFont="1" applyFill="1" applyBorder="1" applyAlignment="1">
      <alignment vertical="top" wrapText="1"/>
    </xf>
    <xf numFmtId="0" fontId="10" fillId="8" borderId="1" xfId="0" applyFont="1" applyFill="1" applyBorder="1" applyAlignment="1">
      <alignment vertical="top" wrapText="1"/>
    </xf>
    <xf numFmtId="0" fontId="13" fillId="3" borderId="1" xfId="0" applyFont="1" applyFill="1" applyBorder="1" applyAlignment="1">
      <alignment vertical="top" wrapText="1"/>
    </xf>
    <xf numFmtId="0" fontId="10" fillId="8" borderId="7" xfId="0" applyFont="1" applyFill="1" applyBorder="1" applyAlignment="1">
      <alignment vertical="top" wrapText="1"/>
    </xf>
    <xf numFmtId="0" fontId="10" fillId="8" borderId="8" xfId="0" applyFont="1" applyFill="1" applyBorder="1" applyAlignment="1">
      <alignment vertical="top" wrapText="1"/>
    </xf>
    <xf numFmtId="0" fontId="10" fillId="8" borderId="9" xfId="0" applyFont="1" applyFill="1" applyBorder="1" applyAlignment="1">
      <alignment vertical="top"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0" fillId="0" borderId="5" xfId="0" applyBorder="1"/>
    <xf numFmtId="0" fontId="0" fillId="0" borderId="1" xfId="0" applyBorder="1"/>
    <xf numFmtId="0" fontId="0" fillId="0" borderId="6" xfId="0" applyBorder="1"/>
    <xf numFmtId="0" fontId="13" fillId="8" borderId="1" xfId="0" applyFont="1" applyFill="1" applyBorder="1" applyAlignment="1">
      <alignment vertical="top" wrapText="1"/>
    </xf>
    <xf numFmtId="0" fontId="10" fillId="3" borderId="7" xfId="0" applyFont="1" applyFill="1" applyBorder="1" applyAlignment="1">
      <alignment vertical="top" wrapText="1"/>
    </xf>
    <xf numFmtId="0" fontId="10" fillId="3" borderId="8" xfId="0" applyFont="1" applyFill="1" applyBorder="1" applyAlignment="1">
      <alignment vertical="top" wrapText="1"/>
    </xf>
    <xf numFmtId="0" fontId="10" fillId="3" borderId="9" xfId="0" applyFont="1" applyFill="1" applyBorder="1" applyAlignment="1">
      <alignment vertical="top" wrapText="1"/>
    </xf>
    <xf numFmtId="0" fontId="13" fillId="8" borderId="5" xfId="0" applyFont="1" applyFill="1" applyBorder="1" applyAlignment="1">
      <alignment vertical="top" wrapText="1"/>
    </xf>
    <xf numFmtId="0" fontId="13" fillId="8" borderId="6" xfId="0" applyFont="1" applyFill="1" applyBorder="1" applyAlignment="1">
      <alignment vertical="top" wrapText="1"/>
    </xf>
    <xf numFmtId="0" fontId="15" fillId="3"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12" fillId="8" borderId="5" xfId="0" applyFont="1" applyFill="1" applyBorder="1" applyAlignment="1">
      <alignment horizontal="left" vertical="top" wrapText="1"/>
    </xf>
    <xf numFmtId="0" fontId="12" fillId="8" borderId="6" xfId="0" applyFont="1" applyFill="1" applyBorder="1" applyAlignment="1">
      <alignment horizontal="left" vertical="top" wrapText="1"/>
    </xf>
    <xf numFmtId="0" fontId="19" fillId="10" borderId="5" xfId="0" applyFont="1" applyFill="1" applyBorder="1" applyAlignment="1">
      <alignment horizontal="center" vertical="center"/>
    </xf>
    <xf numFmtId="0" fontId="19" fillId="10" borderId="1" xfId="0" applyFont="1" applyFill="1" applyBorder="1" applyAlignment="1">
      <alignment horizontal="center" vertical="center"/>
    </xf>
    <xf numFmtId="0" fontId="19" fillId="10" borderId="6" xfId="0" applyFont="1" applyFill="1" applyBorder="1" applyAlignment="1">
      <alignment horizontal="center" vertical="center"/>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2" fillId="8" borderId="7" xfId="0" applyFont="1" applyFill="1" applyBorder="1" applyAlignment="1">
      <alignment vertical="top" wrapText="1"/>
    </xf>
    <xf numFmtId="0" fontId="12" fillId="8" borderId="8" xfId="0" applyFont="1" applyFill="1" applyBorder="1" applyAlignment="1">
      <alignment vertical="top" wrapText="1"/>
    </xf>
    <xf numFmtId="0" fontId="12" fillId="8" borderId="9" xfId="0" applyFont="1" applyFill="1" applyBorder="1" applyAlignment="1">
      <alignment vertical="top" wrapText="1"/>
    </xf>
    <xf numFmtId="0" fontId="15" fillId="3" borderId="5" xfId="0" applyFont="1" applyFill="1" applyBorder="1" applyAlignment="1">
      <alignment vertical="top" wrapText="1"/>
    </xf>
    <xf numFmtId="0" fontId="15" fillId="3" borderId="1" xfId="0" applyFont="1" applyFill="1" applyBorder="1" applyAlignment="1">
      <alignment vertical="top" wrapText="1"/>
    </xf>
    <xf numFmtId="0" fontId="15" fillId="3" borderId="6" xfId="0" applyFont="1" applyFill="1" applyBorder="1" applyAlignment="1">
      <alignment vertical="top" wrapText="1"/>
    </xf>
    <xf numFmtId="0" fontId="15" fillId="8" borderId="5" xfId="0" applyFont="1" applyFill="1" applyBorder="1" applyAlignment="1">
      <alignment vertical="top" wrapText="1"/>
    </xf>
    <xf numFmtId="0" fontId="15" fillId="8" borderId="1" xfId="0" applyFont="1" applyFill="1" applyBorder="1" applyAlignment="1">
      <alignment vertical="top" wrapText="1"/>
    </xf>
    <xf numFmtId="0" fontId="15" fillId="8" borderId="6" xfId="0" applyFont="1" applyFill="1" applyBorder="1" applyAlignment="1">
      <alignment vertical="top" wrapText="1"/>
    </xf>
    <xf numFmtId="0" fontId="11" fillId="12" borderId="0" xfId="0" applyFont="1" applyFill="1" applyAlignment="1">
      <alignment horizontal="left" vertical="center" wrapText="1"/>
    </xf>
    <xf numFmtId="0" fontId="15" fillId="3" borderId="0" xfId="0" applyFont="1" applyFill="1" applyAlignment="1">
      <alignment vertical="center" wrapText="1"/>
    </xf>
    <xf numFmtId="0" fontId="15" fillId="8" borderId="0" xfId="0" applyFont="1" applyFill="1" applyAlignment="1">
      <alignment vertical="center" wrapText="1"/>
    </xf>
    <xf numFmtId="0" fontId="11" fillId="12" borderId="0" xfId="0" applyFont="1" applyFill="1" applyAlignment="1">
      <alignment horizontal="left" vertical="top" wrapText="1"/>
    </xf>
    <xf numFmtId="0" fontId="12" fillId="3" borderId="0" xfId="0" applyFont="1" applyFill="1" applyAlignment="1">
      <alignment horizontal="left" vertical="top" wrapText="1"/>
    </xf>
    <xf numFmtId="0" fontId="12" fillId="8" borderId="0" xfId="0" applyFont="1" applyFill="1" applyAlignment="1">
      <alignment horizontal="left" vertical="top" wrapText="1"/>
    </xf>
    <xf numFmtId="0" fontId="12" fillId="3" borderId="0" xfId="0" applyFont="1" applyFill="1" applyAlignment="1">
      <alignment wrapText="1"/>
    </xf>
    <xf numFmtId="0" fontId="12" fillId="8" borderId="0" xfId="0" applyFont="1" applyFill="1" applyAlignment="1">
      <alignment wrapText="1"/>
    </xf>
    <xf numFmtId="0" fontId="0" fillId="0" borderId="21" xfId="0" applyBorder="1"/>
    <xf numFmtId="0" fontId="0" fillId="0" borderId="22" xfId="0" applyBorder="1"/>
    <xf numFmtId="0" fontId="20" fillId="11" borderId="5" xfId="0" applyFont="1" applyFill="1" applyBorder="1" applyAlignment="1">
      <alignment horizontal="left" vertical="center" wrapText="1"/>
    </xf>
    <xf numFmtId="0" fontId="11" fillId="2" borderId="0" xfId="0" applyFont="1" applyFill="1" applyAlignment="1">
      <alignment horizontal="left" wrapText="1"/>
    </xf>
    <xf numFmtId="0" fontId="11" fillId="12" borderId="0" xfId="0" applyFont="1" applyFill="1" applyAlignment="1">
      <alignment horizontal="left" wrapText="1"/>
    </xf>
    <xf numFmtId="0" fontId="24" fillId="14" borderId="0" xfId="0" applyFont="1" applyFill="1" applyAlignment="1">
      <alignment vertical="center" wrapText="1"/>
    </xf>
    <xf numFmtId="0" fontId="25" fillId="15" borderId="0" xfId="0" applyFont="1" applyFill="1" applyAlignment="1">
      <alignment vertical="top" wrapText="1"/>
    </xf>
    <xf numFmtId="0" fontId="25" fillId="16" borderId="0" xfId="0" applyFont="1" applyFill="1" applyAlignment="1">
      <alignment vertical="top" wrapText="1"/>
    </xf>
    <xf numFmtId="0" fontId="12" fillId="3" borderId="1" xfId="0" applyFont="1" applyFill="1" applyBorder="1" applyAlignment="1">
      <alignment wrapText="1"/>
    </xf>
    <xf numFmtId="0" fontId="12" fillId="8" borderId="1" xfId="0" applyFont="1" applyFill="1" applyBorder="1" applyAlignment="1">
      <alignment wrapText="1"/>
    </xf>
    <xf numFmtId="0" fontId="24" fillId="18" borderId="0" xfId="0" applyFont="1" applyFill="1" applyAlignment="1">
      <alignment wrapText="1"/>
    </xf>
    <xf numFmtId="0" fontId="25" fillId="19" borderId="0" xfId="0" applyFont="1" applyFill="1" applyAlignment="1">
      <alignment wrapText="1"/>
    </xf>
    <xf numFmtId="0" fontId="25" fillId="20" borderId="0" xfId="0" applyFont="1" applyFill="1" applyAlignment="1">
      <alignment wrapText="1"/>
    </xf>
    <xf numFmtId="0" fontId="29" fillId="8" borderId="1" xfId="0" applyFont="1" applyFill="1" applyBorder="1" applyAlignment="1">
      <alignment vertical="top" wrapText="1"/>
    </xf>
    <xf numFmtId="0" fontId="29" fillId="3" borderId="1" xfId="0" applyFont="1" applyFill="1" applyBorder="1" applyAlignment="1">
      <alignment vertical="top" wrapText="1"/>
    </xf>
    <xf numFmtId="0" fontId="29" fillId="8" borderId="5" xfId="0" applyFont="1" applyFill="1" applyBorder="1" applyAlignment="1">
      <alignment vertical="top" wrapText="1"/>
    </xf>
    <xf numFmtId="0" fontId="29" fillId="3" borderId="1" xfId="0" applyFont="1" applyFill="1" applyBorder="1" applyAlignment="1">
      <alignment horizontal="left" vertical="top" wrapText="1"/>
    </xf>
    <xf numFmtId="0" fontId="29" fillId="3" borderId="6" xfId="0" applyFont="1" applyFill="1" applyBorder="1" applyAlignment="1">
      <alignment horizontal="left" vertical="top" wrapText="1"/>
    </xf>
    <xf numFmtId="0" fontId="29" fillId="8" borderId="5" xfId="0" applyFont="1" applyFill="1" applyBorder="1" applyAlignment="1">
      <alignment horizontal="left" vertical="top" wrapText="1"/>
    </xf>
    <xf numFmtId="0" fontId="29" fillId="8" borderId="1" xfId="0" applyFont="1" applyFill="1" applyBorder="1" applyAlignment="1">
      <alignment horizontal="left" vertical="top" wrapText="1"/>
    </xf>
    <xf numFmtId="0" fontId="29" fillId="19" borderId="1" xfId="0" applyFont="1" applyFill="1" applyBorder="1" applyAlignment="1">
      <alignment vertical="top" wrapText="1"/>
    </xf>
    <xf numFmtId="0" fontId="29" fillId="19" borderId="6" xfId="0" applyFont="1" applyFill="1" applyBorder="1" applyAlignment="1">
      <alignment vertical="top" wrapText="1"/>
    </xf>
    <xf numFmtId="0" fontId="29" fillId="20" borderId="1" xfId="0" applyFont="1" applyFill="1" applyBorder="1" applyAlignment="1">
      <alignment vertical="top" wrapText="1"/>
    </xf>
    <xf numFmtId="0" fontId="29" fillId="20" borderId="6" xfId="0" applyFont="1" applyFill="1" applyBorder="1" applyAlignment="1">
      <alignment vertical="top" wrapText="1"/>
    </xf>
    <xf numFmtId="0" fontId="10" fillId="19" borderId="1" xfId="0" applyFont="1" applyFill="1" applyBorder="1" applyAlignment="1">
      <alignment vertical="top" wrapText="1"/>
    </xf>
    <xf numFmtId="0" fontId="10" fillId="19" borderId="6" xfId="0" applyFont="1" applyFill="1" applyBorder="1" applyAlignment="1">
      <alignment vertical="top" wrapText="1"/>
    </xf>
    <xf numFmtId="0" fontId="10" fillId="20" borderId="1" xfId="0" applyFont="1" applyFill="1" applyBorder="1" applyAlignment="1">
      <alignment vertical="top" wrapText="1"/>
    </xf>
    <xf numFmtId="0" fontId="10" fillId="20" borderId="6" xfId="0" applyFont="1" applyFill="1" applyBorder="1" applyAlignment="1">
      <alignment vertical="top" wrapText="1"/>
    </xf>
    <xf numFmtId="0" fontId="34" fillId="27" borderId="0" xfId="0" applyFont="1" applyFill="1"/>
    <xf numFmtId="0" fontId="35" fillId="0" borderId="0" xfId="0" applyFont="1" applyAlignment="1">
      <alignment vertical="top" wrapText="1"/>
    </xf>
    <xf numFmtId="0" fontId="34" fillId="30" borderId="0" xfId="0" applyFont="1" applyFill="1"/>
    <xf numFmtId="0" fontId="34" fillId="33" borderId="0" xfId="0" applyFont="1" applyFill="1"/>
    <xf numFmtId="0" fontId="34" fillId="36" borderId="0" xfId="0" applyFont="1" applyFill="1"/>
    <xf numFmtId="0" fontId="34" fillId="39" borderId="0" xfId="0" applyFont="1" applyFill="1"/>
    <xf numFmtId="0" fontId="34" fillId="42" borderId="0" xfId="0" applyFont="1" applyFill="1"/>
    <xf numFmtId="9" fontId="35" fillId="0" borderId="0" xfId="0" applyNumberFormat="1" applyFont="1" applyAlignment="1">
      <alignment vertical="top" wrapText="1"/>
    </xf>
    <xf numFmtId="0" fontId="36" fillId="44" borderId="0" xfId="0" applyFont="1" applyFill="1" applyAlignment="1">
      <alignment vertical="top" wrapText="1"/>
    </xf>
    <xf numFmtId="0" fontId="37" fillId="0" borderId="0" xfId="0" applyFont="1"/>
    <xf numFmtId="0" fontId="0" fillId="0" borderId="0" xfId="0" applyAlignment="1">
      <alignment wrapText="1"/>
    </xf>
    <xf numFmtId="0" fontId="34" fillId="47" borderId="0" xfId="0" applyFont="1" applyFill="1"/>
    <xf numFmtId="0" fontId="0" fillId="48" borderId="0" xfId="0" applyFill="1" applyAlignment="1">
      <alignment vertical="top" wrapText="1"/>
    </xf>
    <xf numFmtId="0" fontId="0" fillId="0" borderId="0" xfId="0" applyAlignment="1">
      <alignment vertical="top" wrapText="1"/>
    </xf>
    <xf numFmtId="0" fontId="34" fillId="51" borderId="0" xfId="0" applyFont="1" applyFill="1" applyAlignment="1">
      <alignment horizontal="center" wrapText="1"/>
    </xf>
    <xf numFmtId="0" fontId="40" fillId="0" borderId="0" xfId="0" applyFont="1" applyAlignment="1">
      <alignment vertical="top" wrapText="1"/>
    </xf>
    <xf numFmtId="0" fontId="40" fillId="52" borderId="0" xfId="0" applyFont="1" applyFill="1" applyAlignment="1">
      <alignment vertical="top" wrapText="1"/>
    </xf>
    <xf numFmtId="0" fontId="40" fillId="53" borderId="0" xfId="0" applyFont="1" applyFill="1" applyAlignment="1">
      <alignment vertical="top" wrapText="1"/>
    </xf>
    <xf numFmtId="0" fontId="38" fillId="55" borderId="0" xfId="0" applyFont="1" applyFill="1"/>
    <xf numFmtId="0" fontId="38" fillId="0" borderId="0" xfId="0" applyFont="1" applyAlignment="1">
      <alignment wrapText="1"/>
    </xf>
    <xf numFmtId="0" fontId="34" fillId="57" borderId="0" xfId="0" applyFont="1" applyFill="1" applyAlignment="1">
      <alignment vertical="top" wrapText="1"/>
    </xf>
    <xf numFmtId="0" fontId="34" fillId="58" borderId="0" xfId="0" applyFont="1" applyFill="1" applyAlignment="1">
      <alignment vertical="top" wrapText="1"/>
    </xf>
    <xf numFmtId="0" fontId="0" fillId="59" borderId="0" xfId="0" applyFill="1" applyAlignment="1">
      <alignment vertical="top" wrapText="1"/>
    </xf>
    <xf numFmtId="0" fontId="35" fillId="60" borderId="0" xfId="0" applyFont="1" applyFill="1" applyAlignment="1">
      <alignment vertical="top" wrapText="1"/>
    </xf>
    <xf numFmtId="0" fontId="15" fillId="20" borderId="0" xfId="0" applyFont="1" applyFill="1"/>
    <xf numFmtId="0" fontId="11" fillId="18" borderId="0" xfId="0" applyFont="1" applyFill="1" applyAlignment="1">
      <alignment horizontal="left" vertical="top" wrapText="1"/>
    </xf>
    <xf numFmtId="0" fontId="15" fillId="19" borderId="0" xfId="0" applyFont="1" applyFill="1" applyAlignment="1">
      <alignment horizontal="left" vertical="top" wrapText="1"/>
    </xf>
    <xf numFmtId="0" fontId="15" fillId="20" borderId="0" xfId="0" applyFont="1" applyFill="1" applyAlignment="1">
      <alignment horizontal="left" vertical="top" wrapText="1"/>
    </xf>
    <xf numFmtId="0" fontId="42" fillId="61" borderId="0" xfId="0" applyFont="1" applyFill="1"/>
    <xf numFmtId="0" fontId="42" fillId="62" borderId="0" xfId="0" applyFont="1" applyFill="1" applyAlignment="1">
      <alignment horizontal="left" vertical="top" wrapText="1"/>
    </xf>
    <xf numFmtId="0" fontId="42" fillId="19" borderId="0" xfId="0" applyFont="1" applyFill="1" applyAlignment="1">
      <alignment horizontal="left" vertical="top" wrapText="1"/>
    </xf>
    <xf numFmtId="0" fontId="38" fillId="66" borderId="0" xfId="0" applyFont="1" applyFill="1"/>
    <xf numFmtId="0" fontId="12" fillId="0" borderId="0" xfId="0" applyFont="1" applyAlignment="1">
      <alignment vertical="top" wrapText="1"/>
    </xf>
    <xf numFmtId="0" fontId="43" fillId="0" borderId="0" xfId="0" applyFont="1" applyAlignment="1">
      <alignment vertical="top"/>
    </xf>
    <xf numFmtId="0" fontId="38" fillId="0" borderId="0" xfId="0" applyFont="1"/>
    <xf numFmtId="0" fontId="38" fillId="69" borderId="0" xfId="0" applyFont="1" applyFill="1"/>
    <xf numFmtId="0" fontId="38" fillId="60" borderId="0" xfId="0" applyFont="1" applyFill="1"/>
    <xf numFmtId="0" fontId="38" fillId="71" borderId="0" xfId="0" applyFont="1" applyFill="1"/>
    <xf numFmtId="0" fontId="38" fillId="72" borderId="0" xfId="0" applyFont="1" applyFill="1"/>
    <xf numFmtId="0" fontId="38" fillId="73" borderId="0" xfId="0" applyFont="1" applyFill="1"/>
    <xf numFmtId="0" fontId="38" fillId="74" borderId="0" xfId="0" applyFont="1" applyFill="1"/>
    <xf numFmtId="0" fontId="15" fillId="0" borderId="0" xfId="0" applyFont="1" applyAlignment="1">
      <alignment vertical="top" wrapText="1"/>
    </xf>
    <xf numFmtId="0" fontId="43" fillId="70" borderId="0" xfId="0" applyFont="1" applyFill="1" applyAlignment="1">
      <alignment vertical="top"/>
    </xf>
    <xf numFmtId="0" fontId="45" fillId="0" borderId="0" xfId="0" applyFont="1" applyAlignment="1">
      <alignment vertical="top" wrapText="1"/>
    </xf>
    <xf numFmtId="0" fontId="46" fillId="0" borderId="0" xfId="0" applyFont="1" applyAlignment="1">
      <alignment vertical="top" wrapText="1"/>
    </xf>
    <xf numFmtId="0" fontId="34" fillId="77" borderId="0" xfId="0" applyFont="1" applyFill="1" applyAlignment="1">
      <alignment horizontal="center"/>
    </xf>
    <xf numFmtId="0" fontId="0" fillId="78" borderId="0" xfId="0" applyFill="1" applyAlignment="1">
      <alignment vertical="top" wrapText="1"/>
    </xf>
    <xf numFmtId="0" fontId="0" fillId="79" borderId="0" xfId="0" applyFill="1" applyAlignment="1">
      <alignment vertical="top" wrapText="1"/>
    </xf>
    <xf numFmtId="0" fontId="0" fillId="80" borderId="0" xfId="0" applyFill="1" applyAlignment="1">
      <alignment vertical="top" wrapText="1"/>
    </xf>
    <xf numFmtId="0" fontId="0" fillId="81" borderId="0" xfId="0" applyFill="1" applyAlignment="1">
      <alignment vertical="top" wrapText="1"/>
    </xf>
    <xf numFmtId="0" fontId="0" fillId="82" borderId="0" xfId="0" applyFill="1" applyAlignment="1">
      <alignment vertical="top" wrapText="1"/>
    </xf>
    <xf numFmtId="0" fontId="0" fillId="83" borderId="0" xfId="0" applyFill="1" applyAlignment="1">
      <alignment vertical="top" wrapText="1"/>
    </xf>
    <xf numFmtId="0" fontId="0" fillId="84" borderId="0" xfId="0" applyFill="1" applyAlignment="1">
      <alignment vertical="top" wrapText="1"/>
    </xf>
    <xf numFmtId="0" fontId="0" fillId="85" borderId="0" xfId="0" applyFill="1" applyAlignment="1">
      <alignment vertical="top" wrapText="1"/>
    </xf>
    <xf numFmtId="0" fontId="0" fillId="86" borderId="0" xfId="0" applyFill="1" applyAlignment="1">
      <alignment vertical="top" wrapText="1"/>
    </xf>
    <xf numFmtId="0" fontId="0" fillId="87" borderId="0" xfId="0" applyFill="1" applyAlignment="1">
      <alignment vertical="top" wrapText="1"/>
    </xf>
    <xf numFmtId="0" fontId="0" fillId="88" borderId="0" xfId="0" applyFill="1" applyAlignment="1">
      <alignment vertical="top" wrapText="1"/>
    </xf>
    <xf numFmtId="0" fontId="49" fillId="92" borderId="27" xfId="0" applyFont="1" applyFill="1" applyBorder="1" applyAlignment="1">
      <alignment horizontal="center" vertical="center" wrapText="1"/>
    </xf>
    <xf numFmtId="0" fontId="35" fillId="93" borderId="27" xfId="0" applyFont="1" applyFill="1" applyBorder="1" applyAlignment="1">
      <alignment vertical="top" wrapText="1"/>
    </xf>
    <xf numFmtId="0" fontId="35" fillId="94" borderId="27" xfId="0" applyFont="1" applyFill="1" applyBorder="1" applyAlignment="1">
      <alignment vertical="top" wrapText="1"/>
    </xf>
    <xf numFmtId="0" fontId="35" fillId="95" borderId="27" xfId="0" applyFont="1" applyFill="1" applyBorder="1" applyAlignment="1">
      <alignment vertical="top" wrapText="1"/>
    </xf>
    <xf numFmtId="0" fontId="35" fillId="93" borderId="27" xfId="0" quotePrefix="1" applyFont="1" applyFill="1" applyBorder="1" applyAlignment="1">
      <alignment vertical="top" wrapText="1"/>
    </xf>
    <xf numFmtId="0" fontId="35" fillId="94" borderId="27" xfId="0" quotePrefix="1" applyFont="1" applyFill="1" applyBorder="1" applyAlignment="1">
      <alignment vertical="top" wrapText="1"/>
    </xf>
    <xf numFmtId="0" fontId="35" fillId="95" borderId="27" xfId="0" quotePrefix="1" applyFont="1" applyFill="1" applyBorder="1" applyAlignment="1">
      <alignment vertical="top" wrapText="1"/>
    </xf>
    <xf numFmtId="0" fontId="34" fillId="28" borderId="0" xfId="0" applyFont="1" applyFill="1"/>
    <xf numFmtId="0" fontId="0" fillId="0" borderId="0" xfId="0"/>
    <xf numFmtId="0" fontId="31" fillId="22" borderId="0" xfId="0" applyFont="1" applyFill="1" applyAlignment="1">
      <alignment wrapText="1"/>
    </xf>
    <xf numFmtId="0" fontId="32" fillId="23" borderId="0" xfId="0" applyFont="1" applyFill="1"/>
    <xf numFmtId="0" fontId="33" fillId="24" borderId="0" xfId="0" applyFont="1" applyFill="1" applyAlignment="1">
      <alignment wrapText="1"/>
    </xf>
    <xf numFmtId="0" fontId="34" fillId="25" borderId="0" xfId="0" applyFont="1" applyFill="1"/>
    <xf numFmtId="0" fontId="0" fillId="26" borderId="0" xfId="0" applyFill="1" applyAlignment="1">
      <alignment wrapText="1"/>
    </xf>
    <xf numFmtId="0" fontId="0" fillId="38" borderId="0" xfId="0" applyFill="1" applyAlignment="1">
      <alignment wrapText="1"/>
    </xf>
    <xf numFmtId="0" fontId="34" fillId="40" borderId="0" xfId="0" applyFont="1" applyFill="1"/>
    <xf numFmtId="0" fontId="0" fillId="41" borderId="0" xfId="0" applyFill="1" applyAlignment="1">
      <alignment wrapText="1"/>
    </xf>
    <xf numFmtId="0" fontId="34" fillId="43" borderId="0" xfId="0" applyFont="1" applyFill="1"/>
    <xf numFmtId="0" fontId="0" fillId="29" borderId="0" xfId="0" applyFill="1" applyAlignment="1">
      <alignment wrapText="1"/>
    </xf>
    <xf numFmtId="0" fontId="34" fillId="31" borderId="0" xfId="0" applyFont="1" applyFill="1"/>
    <xf numFmtId="0" fontId="0" fillId="32" borderId="0" xfId="0" applyFill="1" applyAlignment="1">
      <alignment wrapText="1"/>
    </xf>
    <xf numFmtId="0" fontId="34" fillId="34" borderId="0" xfId="0" applyFont="1" applyFill="1"/>
    <xf numFmtId="0" fontId="0" fillId="35" borderId="0" xfId="0" applyFill="1" applyAlignment="1">
      <alignment wrapText="1"/>
    </xf>
    <xf numFmtId="0" fontId="34" fillId="37" borderId="0" xfId="0" applyFont="1" applyFill="1"/>
    <xf numFmtId="0" fontId="24" fillId="18" borderId="0" xfId="0" applyFont="1" applyFill="1" applyAlignment="1">
      <alignment wrapText="1"/>
    </xf>
    <xf numFmtId="0" fontId="20" fillId="11" borderId="5" xfId="0" applyFont="1" applyFill="1" applyBorder="1" applyAlignment="1">
      <alignment horizontal="left" vertical="center" wrapText="1"/>
    </xf>
    <xf numFmtId="0" fontId="0" fillId="0" borderId="21" xfId="0" applyBorder="1"/>
    <xf numFmtId="0" fontId="0" fillId="0" borderId="22" xfId="0" applyBorder="1"/>
    <xf numFmtId="0" fontId="22" fillId="13" borderId="0" xfId="0" applyFont="1" applyFill="1" applyAlignment="1">
      <alignment vertical="center" wrapText="1"/>
    </xf>
    <xf numFmtId="0" fontId="25" fillId="15" borderId="0" xfId="0" applyFont="1" applyFill="1" applyAlignment="1">
      <alignment vertical="top" wrapText="1"/>
    </xf>
    <xf numFmtId="0" fontId="11" fillId="2" borderId="7" xfId="0" applyFont="1" applyFill="1" applyBorder="1" applyAlignment="1">
      <alignment horizontal="center" vertical="center" wrapText="1"/>
    </xf>
    <xf numFmtId="0" fontId="0" fillId="0" borderId="23" xfId="0" applyBorder="1"/>
    <xf numFmtId="0" fontId="0" fillId="0" borderId="24" xfId="0" applyBorder="1"/>
    <xf numFmtId="0" fontId="26" fillId="15" borderId="0" xfId="0" applyFont="1" applyFill="1" applyAlignment="1">
      <alignment vertical="center" wrapText="1"/>
    </xf>
    <xf numFmtId="0" fontId="0" fillId="8" borderId="0" xfId="0" applyFill="1"/>
    <xf numFmtId="0" fontId="11" fillId="12" borderId="0" xfId="0" applyFont="1" applyFill="1" applyAlignment="1">
      <alignment horizontal="left" wrapText="1"/>
    </xf>
    <xf numFmtId="0" fontId="30" fillId="21" borderId="0" xfId="0" applyFont="1" applyFill="1" applyAlignment="1">
      <alignment wrapText="1"/>
    </xf>
    <xf numFmtId="0" fontId="22" fillId="21" borderId="0" xfId="0" applyFont="1" applyFill="1" applyAlignment="1">
      <alignment wrapText="1"/>
    </xf>
    <xf numFmtId="0" fontId="25" fillId="19" borderId="0" xfId="0" applyFont="1" applyFill="1" applyAlignment="1">
      <alignment wrapText="1"/>
    </xf>
    <xf numFmtId="0" fontId="12" fillId="3" borderId="0" xfId="0" applyFont="1" applyFill="1" applyAlignment="1">
      <alignment wrapText="1"/>
    </xf>
    <xf numFmtId="0" fontId="15" fillId="3" borderId="5" xfId="0" applyFont="1" applyFill="1" applyBorder="1" applyAlignment="1">
      <alignment vertical="top" wrapText="1"/>
    </xf>
    <xf numFmtId="0" fontId="28" fillId="18" borderId="0" xfId="0" applyFont="1" applyFill="1" applyAlignment="1">
      <alignment wrapText="1"/>
    </xf>
    <xf numFmtId="0" fontId="25" fillId="20" borderId="0" xfId="0" applyFont="1" applyFill="1" applyAlignment="1">
      <alignment wrapText="1"/>
    </xf>
    <xf numFmtId="0" fontId="11" fillId="2" borderId="0" xfId="0" applyFont="1" applyFill="1" applyAlignment="1">
      <alignment horizontal="left" wrapText="1"/>
    </xf>
    <xf numFmtId="0" fontId="12" fillId="8" borderId="0" xfId="0" applyFont="1" applyFill="1" applyAlignment="1">
      <alignment wrapText="1"/>
    </xf>
    <xf numFmtId="0" fontId="14" fillId="3" borderId="5" xfId="0" applyFont="1" applyFill="1" applyBorder="1" applyAlignment="1">
      <alignment horizontal="left" vertical="top" wrapText="1"/>
    </xf>
    <xf numFmtId="0" fontId="15" fillId="8" borderId="5" xfId="0" applyFont="1" applyFill="1" applyBorder="1" applyAlignment="1">
      <alignment vertical="top" wrapText="1"/>
    </xf>
    <xf numFmtId="0" fontId="23" fillId="14" borderId="0" xfId="0" applyFont="1" applyFill="1" applyAlignment="1">
      <alignment vertical="center" wrapText="1"/>
    </xf>
    <xf numFmtId="0" fontId="16" fillId="2" borderId="2" xfId="0" applyFont="1" applyFill="1" applyBorder="1" applyAlignment="1">
      <alignment horizontal="center" vertical="center" wrapText="1"/>
    </xf>
    <xf numFmtId="0" fontId="0" fillId="0" borderId="25" xfId="0" applyBorder="1"/>
    <xf numFmtId="0" fontId="0" fillId="0" borderId="26" xfId="0" applyBorder="1"/>
    <xf numFmtId="0" fontId="51" fillId="96" borderId="28" xfId="0" applyFont="1" applyFill="1" applyBorder="1" applyAlignment="1">
      <alignment vertical="top" wrapText="1"/>
    </xf>
    <xf numFmtId="0" fontId="51" fillId="96" borderId="29" xfId="0" applyFont="1" applyFill="1" applyBorder="1" applyAlignment="1">
      <alignment vertical="top" wrapText="1"/>
    </xf>
    <xf numFmtId="0" fontId="51" fillId="96" borderId="30" xfId="0" applyFont="1" applyFill="1" applyBorder="1" applyAlignment="1">
      <alignment vertical="top" wrapText="1"/>
    </xf>
    <xf numFmtId="0" fontId="32" fillId="89" borderId="0" xfId="0" applyFont="1" applyFill="1" applyAlignment="1">
      <alignment horizontal="center" vertical="center"/>
    </xf>
    <xf numFmtId="0" fontId="48" fillId="90" borderId="0" xfId="0" applyFont="1" applyFill="1" applyAlignment="1">
      <alignment vertical="center" wrapText="1"/>
    </xf>
    <xf numFmtId="0" fontId="34" fillId="91" borderId="0" xfId="0" applyFont="1" applyFill="1" applyAlignment="1">
      <alignment horizontal="center" vertical="center"/>
    </xf>
    <xf numFmtId="0" fontId="50" fillId="90" borderId="0" xfId="0" applyFont="1" applyFill="1" applyAlignment="1">
      <alignment vertical="center" wrapText="1"/>
    </xf>
    <xf numFmtId="0" fontId="34" fillId="75" borderId="0" xfId="0" applyFont="1" applyFill="1" applyAlignment="1">
      <alignment vertical="center" wrapText="1"/>
    </xf>
    <xf numFmtId="0" fontId="47" fillId="76" borderId="0" xfId="0" applyFont="1" applyFill="1" applyAlignment="1">
      <alignment vertical="center" wrapText="1"/>
    </xf>
    <xf numFmtId="0" fontId="44" fillId="0" borderId="0" xfId="0" applyFont="1"/>
    <xf numFmtId="0" fontId="38" fillId="60" borderId="0" xfId="0" applyFont="1" applyFill="1"/>
    <xf numFmtId="0" fontId="38" fillId="67" borderId="0" xfId="0" applyFont="1" applyFill="1"/>
    <xf numFmtId="0" fontId="33" fillId="68" borderId="0" xfId="0" applyFont="1" applyFill="1"/>
    <xf numFmtId="0" fontId="38" fillId="71" borderId="0" xfId="0" applyFont="1" applyFill="1"/>
    <xf numFmtId="0" fontId="33" fillId="0" borderId="0" xfId="0" applyFont="1"/>
    <xf numFmtId="0" fontId="38" fillId="72" borderId="0" xfId="0" applyFont="1" applyFill="1"/>
    <xf numFmtId="0" fontId="0" fillId="0" borderId="0" xfId="0" applyAlignment="1">
      <alignment wrapText="1"/>
    </xf>
    <xf numFmtId="0" fontId="38" fillId="65" borderId="0" xfId="0" applyFont="1" applyFill="1"/>
    <xf numFmtId="0" fontId="38" fillId="63" borderId="0" xfId="0" applyFont="1" applyFill="1"/>
    <xf numFmtId="0" fontId="0" fillId="45" borderId="0" xfId="0" applyFill="1" applyAlignment="1">
      <alignment wrapText="1"/>
    </xf>
    <xf numFmtId="0" fontId="32" fillId="64" borderId="0" xfId="0" applyFont="1" applyFill="1"/>
    <xf numFmtId="0" fontId="38" fillId="48" borderId="0" xfId="0" applyFont="1" applyFill="1" applyAlignment="1">
      <alignment wrapText="1"/>
    </xf>
    <xf numFmtId="0" fontId="34" fillId="54" borderId="0" xfId="0" applyFont="1" applyFill="1"/>
    <xf numFmtId="0" fontId="41" fillId="56" borderId="0" xfId="0" applyFont="1" applyFill="1"/>
    <xf numFmtId="0" fontId="38" fillId="45" borderId="0" xfId="0" applyFont="1" applyFill="1" applyAlignment="1">
      <alignment wrapText="1"/>
    </xf>
    <xf numFmtId="0" fontId="38" fillId="46" borderId="0" xfId="0" applyFont="1" applyFill="1"/>
    <xf numFmtId="0" fontId="39" fillId="49" borderId="0" xfId="0" applyFont="1" applyFill="1" applyAlignment="1">
      <alignment wrapText="1"/>
    </xf>
    <xf numFmtId="0" fontId="34" fillId="50" borderId="0" xfId="0" applyFont="1" applyFill="1"/>
    <xf numFmtId="0" fontId="34" fillId="50" borderId="0" xfId="0" applyFont="1" applyFill="1" applyAlignment="1">
      <alignment wrapText="1"/>
    </xf>
    <xf numFmtId="0" fontId="31" fillId="50" borderId="0" xfId="0" applyFont="1" applyFill="1" applyAlignment="1">
      <alignment vertical="top" wrapText="1"/>
    </xf>
    <xf numFmtId="0" fontId="3" fillId="3" borderId="0" xfId="0" applyFont="1" applyFill="1" applyAlignment="1">
      <alignment wrapText="1"/>
    </xf>
    <xf numFmtId="0" fontId="2" fillId="2" borderId="0" xfId="0" applyFont="1" applyFill="1"/>
    <xf numFmtId="0" fontId="1" fillId="2" borderId="0" xfId="0" applyFont="1" applyFill="1" applyAlignment="1">
      <alignment horizontal="center"/>
    </xf>
    <xf numFmtId="0" fontId="3" fillId="4" borderId="0" xfId="0" applyFont="1" applyFill="1" applyAlignment="1">
      <alignment wrapText="1"/>
    </xf>
    <xf numFmtId="0" fontId="5" fillId="3" borderId="0" xfId="0" applyFont="1" applyFill="1" applyAlignment="1">
      <alignment wrapText="1"/>
    </xf>
    <xf numFmtId="0" fontId="9" fillId="2" borderId="10" xfId="0" applyFont="1" applyFill="1" applyBorder="1" applyAlignment="1">
      <alignment horizontal="center" vertical="center"/>
    </xf>
    <xf numFmtId="0" fontId="0" fillId="0" borderId="11" xfId="0" applyBorder="1"/>
    <xf numFmtId="0" fontId="0" fillId="0" borderId="12" xfId="0" applyBorder="1"/>
    <xf numFmtId="0" fontId="10" fillId="3" borderId="13" xfId="0" applyFont="1" applyFill="1" applyBorder="1" applyAlignment="1">
      <alignment vertical="top" wrapText="1"/>
    </xf>
    <xf numFmtId="0" fontId="0" fillId="0" borderId="14" xfId="0" applyBorder="1"/>
    <xf numFmtId="0" fontId="9" fillId="2" borderId="0" xfId="0" applyFont="1" applyFill="1" applyAlignment="1">
      <alignment horizontal="center" vertical="center"/>
    </xf>
    <xf numFmtId="0" fontId="10" fillId="3" borderId="0" xfId="0" applyFont="1" applyFill="1" applyAlignment="1">
      <alignment horizontal="left" vertical="top" wrapText="1"/>
    </xf>
    <xf numFmtId="0" fontId="10" fillId="3" borderId="15" xfId="0" applyFont="1" applyFill="1" applyBorder="1" applyAlignment="1">
      <alignment vertical="top" wrapText="1"/>
    </xf>
    <xf numFmtId="0" fontId="0" fillId="0" borderId="16" xfId="0" applyBorder="1"/>
    <xf numFmtId="0" fontId="0" fillId="0" borderId="17" xfId="0" applyBorder="1"/>
    <xf numFmtId="0" fontId="9" fillId="2" borderId="18" xfId="0" applyFont="1" applyFill="1" applyBorder="1" applyAlignment="1">
      <alignment horizontal="center" vertical="center"/>
    </xf>
    <xf numFmtId="0" fontId="0" fillId="0" borderId="19" xfId="0" applyBorder="1"/>
    <xf numFmtId="0" fontId="0" fillId="0" borderId="20" xfId="0" applyBorder="1"/>
    <xf numFmtId="0" fontId="10" fillId="3" borderId="18" xfId="0" applyFont="1" applyFill="1" applyBorder="1" applyAlignment="1">
      <alignment vertical="top" wrapText="1"/>
    </xf>
    <xf numFmtId="0" fontId="14" fillId="3" borderId="0" xfId="0" applyFont="1" applyFill="1" applyAlignment="1">
      <alignment horizontal="left" vertical="top" wrapText="1"/>
    </xf>
    <xf numFmtId="0" fontId="9" fillId="9" borderId="0" xfId="0" applyFont="1" applyFill="1" applyAlignment="1">
      <alignment horizontal="center" vertical="center"/>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9" fillId="2" borderId="2" xfId="0" applyFont="1" applyFill="1" applyBorder="1" applyAlignment="1">
      <alignment horizontal="center" vertical="center"/>
    </xf>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0" fillId="3" borderId="7" xfId="0" applyFont="1" applyFill="1" applyBorder="1" applyAlignment="1">
      <alignment horizontal="left" vertical="top" wrapText="1"/>
    </xf>
    <xf numFmtId="0" fontId="18" fillId="10" borderId="2" xfId="0" applyFont="1" applyFill="1" applyBorder="1" applyAlignment="1">
      <alignment horizontal="center" vertical="center"/>
    </xf>
    <xf numFmtId="0" fontId="17" fillId="3" borderId="0" xfId="0" applyFont="1" applyFill="1" applyAlignment="1">
      <alignment horizontal="left" vertical="top" wrapText="1"/>
    </xf>
    <xf numFmtId="0" fontId="11" fillId="2" borderId="1" xfId="0" applyFont="1" applyFill="1" applyBorder="1" applyAlignment="1">
      <alignment horizontal="left" vertical="center" wrapText="1"/>
    </xf>
    <xf numFmtId="0" fontId="17" fillId="3" borderId="1" xfId="0" applyFont="1" applyFill="1" applyBorder="1" applyAlignment="1">
      <alignment horizontal="left" vertical="top" wrapText="1"/>
    </xf>
    <xf numFmtId="0" fontId="16" fillId="2" borderId="0" xfId="0" applyFont="1" applyFill="1" applyAlignment="1">
      <alignment horizontal="center" vertical="center" wrapText="1"/>
    </xf>
    <xf numFmtId="0" fontId="11" fillId="10"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2" fillId="2" borderId="2" xfId="0" applyFont="1" applyFill="1" applyBorder="1" applyAlignment="1">
      <alignment horizontal="left" vertical="center"/>
    </xf>
    <xf numFmtId="0" fontId="10" fillId="3" borderId="5" xfId="0" applyFont="1" applyFill="1" applyBorder="1" applyAlignment="1">
      <alignment vertical="top" wrapText="1"/>
    </xf>
    <xf numFmtId="0" fontId="11" fillId="2" borderId="0" xfId="0" applyFont="1" applyFill="1" applyAlignment="1">
      <alignment horizontal="left" vertical="center" wrapText="1"/>
    </xf>
    <xf numFmtId="0" fontId="21" fillId="12" borderId="0" xfId="0" applyFont="1" applyFill="1" applyAlignment="1">
      <alignment horizontal="center" vertical="center"/>
    </xf>
    <xf numFmtId="0" fontId="16" fillId="2" borderId="0" xfId="0" applyFont="1" applyFill="1" applyAlignment="1">
      <alignment horizontal="center" vertical="center"/>
    </xf>
    <xf numFmtId="0" fontId="16" fillId="17" borderId="0" xfId="0" applyFont="1" applyFill="1" applyAlignment="1">
      <alignment horizontal="center" vertical="top" wrapText="1"/>
    </xf>
    <xf numFmtId="0" fontId="11" fillId="17" borderId="0" xfId="0" applyFont="1" applyFill="1" applyAlignment="1">
      <alignment horizontal="left" vertical="top" wrapText="1"/>
    </xf>
    <xf numFmtId="0" fontId="38" fillId="0" borderId="0" xfId="0" applyFont="1"/>
    <xf numFmtId="0" fontId="20" fillId="2" borderId="0" xfId="0" applyFont="1" applyFill="1" applyAlignment="1">
      <alignment horizontal="left" vertical="top" wrapText="1"/>
    </xf>
    <xf numFmtId="0" fontId="27" fillId="17" borderId="0" xfId="0" applyFont="1" applyFill="1" applyAlignment="1">
      <alignment horizontal="center" wrapText="1"/>
    </xf>
    <xf numFmtId="0" fontId="22" fillId="17" borderId="0" xfId="0" applyFont="1" applyFill="1" applyAlignment="1">
      <alignment wrapText="1"/>
    </xf>
    <xf numFmtId="0" fontId="23" fillId="18" borderId="0" xfId="0" applyFont="1" applyFill="1" applyAlignment="1">
      <alignment wrapText="1"/>
    </xf>
    <xf numFmtId="0" fontId="26" fillId="19" borderId="0" xfId="0" applyFont="1" applyFill="1" applyAlignment="1">
      <alignment wrapText="1"/>
    </xf>
    <xf numFmtId="0" fontId="31" fillId="48" borderId="0" xfId="0" applyFont="1" applyFill="1" applyAlignment="1">
      <alignment horizontal="left" vertical="top" wrapText="1"/>
    </xf>
    <xf numFmtId="0" fontId="35" fillId="97" borderId="0" xfId="0" applyFont="1" applyFill="1" applyAlignment="1">
      <alignment vertical="top" wrapText="1"/>
    </xf>
    <xf numFmtId="0" fontId="36" fillId="98" borderId="27" xfId="0" applyFont="1" applyFill="1" applyBorder="1" applyAlignment="1">
      <alignment vertical="top" wrapText="1"/>
    </xf>
    <xf numFmtId="0" fontId="50" fillId="97" borderId="31" xfId="0" applyFont="1" applyFill="1" applyBorder="1" applyAlignment="1">
      <alignment vertical="top" wrapText="1"/>
    </xf>
    <xf numFmtId="0" fontId="34" fillId="91" borderId="0" xfId="0" applyFont="1" applyFill="1" applyAlignment="1">
      <alignment horizontal="center" vertical="top" wrapText="1"/>
    </xf>
    <xf numFmtId="0" fontId="50" fillId="90" borderId="0" xfId="0" applyFont="1" applyFill="1" applyAlignment="1">
      <alignment vertical="top" wrapText="1"/>
    </xf>
    <xf numFmtId="0" fontId="49" fillId="92" borderId="27" xfId="0" applyFont="1" applyFill="1" applyBorder="1" applyAlignment="1">
      <alignment horizontal="center" vertical="top" wrapText="1"/>
    </xf>
    <xf numFmtId="164" fontId="0" fillId="0" borderId="0" xfId="0" applyNumberFormat="1"/>
    <xf numFmtId="10" fontId="0" fillId="0" borderId="0" xfId="0" applyNumberFormat="1"/>
    <xf numFmtId="0" fontId="52" fillId="54" borderId="0" xfId="0" applyFont="1" applyFill="1"/>
    <xf numFmtId="0" fontId="50" fillId="0" borderId="0" xfId="0" applyFont="1" applyAlignment="1">
      <alignment wrapText="1"/>
    </xf>
    <xf numFmtId="0" fontId="34" fillId="99" borderId="0" xfId="0" applyFont="1" applyFill="1"/>
    <xf numFmtId="0" fontId="34" fillId="99" borderId="0" xfId="0" applyFont="1" applyFill="1" applyAlignment="1">
      <alignment wrapText="1"/>
    </xf>
    <xf numFmtId="0" fontId="34" fillId="100" borderId="0" xfId="0" applyFont="1" applyFill="1" applyAlignment="1">
      <alignment wrapText="1"/>
    </xf>
    <xf numFmtId="0" fontId="38" fillId="101"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430e22e27a8d70a/Retirement%20Plan%20-%20GPT5.5.xlsm" TargetMode="External"/><Relationship Id="rId1" Type="http://schemas.openxmlformats.org/officeDocument/2006/relationships/externalLinkPath" Target="https://d.docs.live.net/6430e22e27a8d70a/Retirement%20Plan%20-%20GPT5.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 to Future Self"/>
      <sheetName val="Engineering Playbook"/>
      <sheetName val="Finding Disposition Tracker"/>
      <sheetName val="Next Claude Prompt"/>
      <sheetName val="Roadmap"/>
      <sheetName val="Sketch Raw Code"/>
      <sheetName val="Captain's Sketch Console"/>
      <sheetName val="sketch — File Map"/>
      <sheetName val="sketch — Inputs"/>
      <sheetName val="sketch — Claims"/>
      <sheetName val="sketch — Review &amp; Prompts"/>
      <sheetName val="Sketch Validation"/>
      <sheetName val="Engine Response Live"/>
      <sheetName val="External Interface"/>
      <sheetName val="Pillar Parity"/>
      <sheetName val="Captain's Test Console"/>
      <sheetName val="Studio Input Master Map"/>
      <sheetName val="Studio Validation"/>
      <sheetName val="Engine Reconciliation"/>
      <sheetName val="Datum Range Validation"/>
      <sheetName val="Demo Personas"/>
      <sheetName val="Backend API Spec"/>
      <sheetName val="Python Engine Spec"/>
      <sheetName val="Auth System Spec"/>
      <sheetName val="Illustrative Mode Spec"/>
      <sheetName val="Terminology Reference"/>
      <sheetName val="Nav.js Matrix"/>
      <sheetName val="Phase 1 Provenance Map"/>
      <sheetName val="Decision Journal"/>
      <sheetName val="index — Claims"/>
      <sheetName val="index — Review &amp; Prompts"/>
      <sheetName val="range — File Map"/>
      <sheetName val="range — Inputs"/>
      <sheetName val="range — Claims"/>
      <sheetName val="range — Matrix"/>
      <sheetName val="range — Review &amp; Prompts"/>
      <sheetName val="FloorPlan Output"/>
      <sheetName val="Site-Wide Audit Index"/>
      <sheetName val="Build Log"/>
      <sheetName val="Pending Build"/>
      <sheetName val="Inputs &amp; Assumptions"/>
      <sheetName val="Action Items &amp; Dashboard"/>
      <sheetName val="Current Investments"/>
      <sheetName val="Family Budget"/>
      <sheetName val="Retirement Projection"/>
      <sheetName val="Retirement Strategy Overview"/>
      <sheetName val="Bridge &amp; Account Tracker"/>
      <sheetName val="401K &amp; 457B Optimization"/>
      <sheetName val="Roth Conversion Strategy"/>
      <sheetName val="Available Funds 401K"/>
      <sheetName val="Available Funds 457b"/>
      <sheetName val="MC Parametric"/>
      <sheetName val="MC Historical Bootstrap"/>
      <sheetName val="MC CAPE"/>
      <sheetName val="MC Regime"/>
      <sheetName val="MC Stress Tests"/>
      <sheetName val="Historical Returns Data"/>
      <sheetName val="MC Blend Diagnostics"/>
      <sheetName val="Fragility Insights"/>
      <sheetName val="Model Integrity Checks"/>
      <sheetName val="Sketch First Read — Master Copy"/>
      <sheetName val="SCREEN 3 — COPY STRINGS"/>
      <sheetName val="SCREEN 3 — R2.A AUTHORED COPY"/>
      <sheetName val="SCREEN 3 — R2.B TENSION"/>
      <sheetName val="Sketchbook Code"/>
      <sheetName val="SKETCH — DATUM NAV"/>
      <sheetName val="SKETCH — SKETCHBOOK"/>
      <sheetName val="SKETCH — STUDIO ENT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B7">
            <v>100000</v>
          </cell>
        </row>
        <row r="8">
          <cell r="B8">
            <v>104000</v>
          </cell>
        </row>
        <row r="9">
          <cell r="B9">
            <v>137000</v>
          </cell>
        </row>
        <row r="10">
          <cell r="B10">
            <v>146000</v>
          </cell>
        </row>
        <row r="11">
          <cell r="B11">
            <v>165000</v>
          </cell>
        </row>
        <row r="27">
          <cell r="B27">
            <v>0.99809999999999999</v>
          </cell>
        </row>
        <row r="66">
          <cell r="B66">
            <v>10778000</v>
          </cell>
        </row>
        <row r="68">
          <cell r="B68">
            <v>7229166.8169023599</v>
          </cell>
        </row>
        <row r="70">
          <cell r="B70">
            <v>4543563.3269906333</v>
          </cell>
        </row>
        <row r="80">
          <cell r="B80">
            <v>2500000</v>
          </cell>
        </row>
        <row r="85">
          <cell r="B85">
            <v>3425000</v>
          </cell>
        </row>
        <row r="86">
          <cell r="B86">
            <v>4125000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7"/>
  <sheetViews>
    <sheetView workbookViewId="0">
      <selection activeCell="C121" sqref="C121"/>
    </sheetView>
  </sheetViews>
  <sheetFormatPr defaultRowHeight="14.5" x14ac:dyDescent="0.35"/>
  <cols>
    <col min="1" max="1" width="28" customWidth="1"/>
    <col min="2" max="3" width="18" customWidth="1"/>
    <col min="4" max="5" width="80" customWidth="1"/>
  </cols>
  <sheetData>
    <row r="1" spans="1:4" ht="24" customHeight="1" x14ac:dyDescent="0.35">
      <c r="A1" s="222" t="s">
        <v>816</v>
      </c>
      <c r="B1" s="223"/>
      <c r="C1" s="223"/>
      <c r="D1" s="224"/>
    </row>
    <row r="2" spans="1:4" ht="48" customHeight="1" x14ac:dyDescent="0.35">
      <c r="A2" s="219" t="s">
        <v>817</v>
      </c>
      <c r="B2" s="200"/>
      <c r="C2" s="200"/>
      <c r="D2" s="201"/>
    </row>
    <row r="3" spans="1:4" ht="22" customHeight="1" x14ac:dyDescent="0.35">
      <c r="A3" s="199" t="s">
        <v>818</v>
      </c>
      <c r="B3" s="200"/>
      <c r="C3" s="200"/>
      <c r="D3" s="201"/>
    </row>
    <row r="4" spans="1:4" ht="60" customHeight="1" x14ac:dyDescent="0.35">
      <c r="A4" s="75" t="s">
        <v>819</v>
      </c>
      <c r="B4" s="76" t="s">
        <v>820</v>
      </c>
      <c r="C4" s="76" t="s">
        <v>821</v>
      </c>
      <c r="D4" s="77"/>
    </row>
    <row r="5" spans="1:4" ht="60" customHeight="1" x14ac:dyDescent="0.35">
      <c r="A5" s="78" t="s">
        <v>822</v>
      </c>
      <c r="B5" s="79" t="s">
        <v>823</v>
      </c>
      <c r="C5" s="79" t="s">
        <v>824</v>
      </c>
      <c r="D5" s="80" t="s">
        <v>825</v>
      </c>
    </row>
    <row r="6" spans="1:4" ht="60" customHeight="1" x14ac:dyDescent="0.35">
      <c r="A6" s="75" t="s">
        <v>826</v>
      </c>
      <c r="B6" s="76" t="s">
        <v>827</v>
      </c>
      <c r="C6" s="76" t="s">
        <v>828</v>
      </c>
      <c r="D6" s="77" t="s">
        <v>829</v>
      </c>
    </row>
    <row r="7" spans="1:4" ht="60" customHeight="1" x14ac:dyDescent="0.35">
      <c r="A7" s="78" t="s">
        <v>830</v>
      </c>
      <c r="B7" s="79" t="s">
        <v>831</v>
      </c>
      <c r="C7" s="79" t="s">
        <v>832</v>
      </c>
      <c r="D7" s="80" t="s">
        <v>833</v>
      </c>
    </row>
    <row r="8" spans="1:4" ht="22" customHeight="1" x14ac:dyDescent="0.35">
      <c r="A8" s="199" t="s">
        <v>834</v>
      </c>
      <c r="B8" s="200"/>
      <c r="C8" s="200"/>
      <c r="D8" s="201"/>
    </row>
    <row r="9" spans="1:4" ht="65" customHeight="1" x14ac:dyDescent="0.35">
      <c r="A9" s="75" t="s">
        <v>835</v>
      </c>
      <c r="B9" s="76" t="s">
        <v>836</v>
      </c>
      <c r="C9" s="76" t="s">
        <v>837</v>
      </c>
      <c r="D9" s="77" t="s">
        <v>838</v>
      </c>
    </row>
    <row r="10" spans="1:4" ht="65" customHeight="1" x14ac:dyDescent="0.35">
      <c r="A10" s="78" t="s">
        <v>839</v>
      </c>
      <c r="B10" s="79" t="s">
        <v>840</v>
      </c>
      <c r="C10" s="79" t="s">
        <v>841</v>
      </c>
      <c r="D10" s="80" t="s">
        <v>842</v>
      </c>
    </row>
    <row r="11" spans="1:4" ht="65" customHeight="1" x14ac:dyDescent="0.35">
      <c r="A11" s="75" t="s">
        <v>843</v>
      </c>
      <c r="B11" s="76" t="s">
        <v>844</v>
      </c>
      <c r="C11" s="76" t="s">
        <v>845</v>
      </c>
      <c r="D11" s="77" t="s">
        <v>846</v>
      </c>
    </row>
    <row r="12" spans="1:4" ht="65" customHeight="1" x14ac:dyDescent="0.35">
      <c r="A12" s="78" t="s">
        <v>847</v>
      </c>
      <c r="B12" s="79" t="s">
        <v>848</v>
      </c>
      <c r="C12" s="79" t="s">
        <v>849</v>
      </c>
      <c r="D12" s="80" t="s">
        <v>850</v>
      </c>
    </row>
    <row r="13" spans="1:4" ht="22" customHeight="1" x14ac:dyDescent="0.35">
      <c r="A13" s="199" t="s">
        <v>851</v>
      </c>
      <c r="B13" s="200"/>
      <c r="C13" s="200"/>
      <c r="D13" s="201"/>
    </row>
    <row r="14" spans="1:4" ht="72" customHeight="1" x14ac:dyDescent="0.35">
      <c r="A14" s="75" t="s">
        <v>852</v>
      </c>
      <c r="B14" s="76" t="s">
        <v>853</v>
      </c>
      <c r="C14" s="76" t="s">
        <v>854</v>
      </c>
      <c r="D14" s="77" t="s">
        <v>855</v>
      </c>
    </row>
    <row r="15" spans="1:4" ht="72" customHeight="1" x14ac:dyDescent="0.35">
      <c r="A15" s="78" t="s">
        <v>856</v>
      </c>
      <c r="B15" s="79" t="s">
        <v>857</v>
      </c>
      <c r="C15" s="79" t="s">
        <v>858</v>
      </c>
      <c r="D15" s="80" t="s">
        <v>859</v>
      </c>
    </row>
    <row r="16" spans="1:4" ht="72" customHeight="1" x14ac:dyDescent="0.35">
      <c r="A16" s="75" t="s">
        <v>860</v>
      </c>
      <c r="B16" s="76" t="s">
        <v>861</v>
      </c>
      <c r="C16" s="76" t="s">
        <v>862</v>
      </c>
      <c r="D16" s="77" t="s">
        <v>863</v>
      </c>
    </row>
    <row r="17" spans="1:4" ht="72" customHeight="1" x14ac:dyDescent="0.35">
      <c r="A17" s="78" t="s">
        <v>864</v>
      </c>
      <c r="B17" s="79" t="s">
        <v>865</v>
      </c>
      <c r="C17" s="79" t="s">
        <v>866</v>
      </c>
      <c r="D17" s="80" t="s">
        <v>867</v>
      </c>
    </row>
    <row r="18" spans="1:4" ht="72" customHeight="1" x14ac:dyDescent="0.35">
      <c r="A18" s="75" t="s">
        <v>868</v>
      </c>
      <c r="B18" s="76" t="s">
        <v>869</v>
      </c>
      <c r="C18" s="76" t="s">
        <v>870</v>
      </c>
      <c r="D18" s="77" t="s">
        <v>871</v>
      </c>
    </row>
    <row r="19" spans="1:4" ht="72" customHeight="1" x14ac:dyDescent="0.35">
      <c r="A19" s="78" t="s">
        <v>872</v>
      </c>
      <c r="B19" s="79" t="s">
        <v>873</v>
      </c>
      <c r="C19" s="79" t="s">
        <v>874</v>
      </c>
      <c r="D19" s="80" t="s">
        <v>875</v>
      </c>
    </row>
    <row r="20" spans="1:4" ht="72" customHeight="1" x14ac:dyDescent="0.35">
      <c r="A20" s="75" t="s">
        <v>876</v>
      </c>
      <c r="B20" s="76" t="s">
        <v>877</v>
      </c>
      <c r="C20" s="76" t="s">
        <v>878</v>
      </c>
      <c r="D20" s="77" t="s">
        <v>879</v>
      </c>
    </row>
    <row r="21" spans="1:4" ht="22" customHeight="1" x14ac:dyDescent="0.35">
      <c r="A21" s="199" t="s">
        <v>880</v>
      </c>
      <c r="B21" s="200"/>
      <c r="C21" s="200"/>
      <c r="D21" s="201"/>
    </row>
    <row r="22" spans="1:4" ht="60" customHeight="1" x14ac:dyDescent="0.35">
      <c r="A22" s="75" t="s">
        <v>881</v>
      </c>
      <c r="B22" s="76" t="s">
        <v>882</v>
      </c>
      <c r="C22" s="76" t="s">
        <v>883</v>
      </c>
      <c r="D22" s="77" t="s">
        <v>884</v>
      </c>
    </row>
    <row r="23" spans="1:4" ht="60" customHeight="1" x14ac:dyDescent="0.35">
      <c r="A23" s="78" t="s">
        <v>885</v>
      </c>
      <c r="B23" s="79" t="s">
        <v>886</v>
      </c>
      <c r="C23" s="79" t="s">
        <v>887</v>
      </c>
      <c r="D23" s="80" t="s">
        <v>888</v>
      </c>
    </row>
    <row r="24" spans="1:4" ht="60" customHeight="1" x14ac:dyDescent="0.35">
      <c r="A24" s="75" t="s">
        <v>889</v>
      </c>
      <c r="B24" s="76" t="s">
        <v>890</v>
      </c>
      <c r="C24" s="76" t="s">
        <v>891</v>
      </c>
      <c r="D24" s="77" t="s">
        <v>892</v>
      </c>
    </row>
    <row r="25" spans="1:4" ht="60" customHeight="1" x14ac:dyDescent="0.35">
      <c r="A25" s="78" t="s">
        <v>893</v>
      </c>
      <c r="B25" s="79" t="s">
        <v>894</v>
      </c>
      <c r="C25" s="79" t="s">
        <v>895</v>
      </c>
      <c r="D25" s="80" t="s">
        <v>896</v>
      </c>
    </row>
    <row r="26" spans="1:4" ht="22" customHeight="1" x14ac:dyDescent="0.35">
      <c r="A26" s="199" t="s">
        <v>897</v>
      </c>
      <c r="B26" s="200"/>
      <c r="C26" s="200"/>
      <c r="D26" s="201"/>
    </row>
    <row r="27" spans="1:4" ht="60" customHeight="1" x14ac:dyDescent="0.35">
      <c r="A27" s="75" t="s">
        <v>898</v>
      </c>
      <c r="B27" s="76" t="s">
        <v>899</v>
      </c>
      <c r="C27" s="76" t="s">
        <v>900</v>
      </c>
      <c r="D27" s="77" t="s">
        <v>901</v>
      </c>
    </row>
    <row r="28" spans="1:4" ht="60" customHeight="1" x14ac:dyDescent="0.35">
      <c r="A28" s="78" t="s">
        <v>902</v>
      </c>
      <c r="B28" s="79" t="s">
        <v>903</v>
      </c>
      <c r="C28" s="79" t="s">
        <v>904</v>
      </c>
      <c r="D28" s="80" t="s">
        <v>905</v>
      </c>
    </row>
    <row r="29" spans="1:4" ht="60" customHeight="1" x14ac:dyDescent="0.35">
      <c r="A29" s="75" t="s">
        <v>906</v>
      </c>
      <c r="B29" s="76" t="s">
        <v>907</v>
      </c>
      <c r="C29" s="76" t="s">
        <v>908</v>
      </c>
      <c r="D29" s="77" t="s">
        <v>909</v>
      </c>
    </row>
    <row r="30" spans="1:4" ht="60" customHeight="1" x14ac:dyDescent="0.35">
      <c r="A30" s="78" t="s">
        <v>910</v>
      </c>
      <c r="B30" s="79" t="s">
        <v>911</v>
      </c>
      <c r="C30" s="79" t="s">
        <v>912</v>
      </c>
      <c r="D30" s="80" t="s">
        <v>913</v>
      </c>
    </row>
    <row r="31" spans="1:4" ht="22" customHeight="1" x14ac:dyDescent="0.35">
      <c r="A31" s="202" t="s">
        <v>914</v>
      </c>
      <c r="B31" s="182"/>
      <c r="C31" s="182"/>
      <c r="D31" s="182"/>
    </row>
    <row r="32" spans="1:4" ht="60" customHeight="1" x14ac:dyDescent="0.35">
      <c r="A32" s="221" t="s">
        <v>915</v>
      </c>
      <c r="B32" s="182"/>
      <c r="C32" s="182"/>
      <c r="D32" s="182"/>
    </row>
    <row r="33" spans="1:4" ht="60" customHeight="1" x14ac:dyDescent="0.35">
      <c r="A33" s="94" t="s">
        <v>189</v>
      </c>
      <c r="B33" s="94" t="s">
        <v>916</v>
      </c>
      <c r="C33" s="94" t="s">
        <v>917</v>
      </c>
      <c r="D33" s="94" t="s">
        <v>918</v>
      </c>
    </row>
    <row r="34" spans="1:4" ht="22" customHeight="1" x14ac:dyDescent="0.35">
      <c r="A34" s="203" t="s">
        <v>192</v>
      </c>
      <c r="B34" s="182"/>
      <c r="C34" s="182"/>
      <c r="D34" s="182"/>
    </row>
    <row r="35" spans="1:4" ht="60" customHeight="1" x14ac:dyDescent="0.35">
      <c r="A35" s="96" t="s">
        <v>195</v>
      </c>
      <c r="B35" s="96" t="s">
        <v>919</v>
      </c>
      <c r="C35" s="96" t="s">
        <v>920</v>
      </c>
      <c r="D35" s="96" t="s">
        <v>921</v>
      </c>
    </row>
    <row r="36" spans="1:4" ht="60" customHeight="1" x14ac:dyDescent="0.35">
      <c r="A36" s="95" t="s">
        <v>198</v>
      </c>
      <c r="B36" s="95" t="s">
        <v>922</v>
      </c>
      <c r="C36" s="95" t="s">
        <v>923</v>
      </c>
      <c r="D36" s="95" t="s">
        <v>924</v>
      </c>
    </row>
    <row r="37" spans="1:4" ht="60" customHeight="1" x14ac:dyDescent="0.35">
      <c r="A37" s="96" t="s">
        <v>201</v>
      </c>
      <c r="B37" s="96" t="s">
        <v>925</v>
      </c>
      <c r="C37" s="96" t="s">
        <v>926</v>
      </c>
      <c r="D37" s="96" t="s">
        <v>927</v>
      </c>
    </row>
    <row r="38" spans="1:4" ht="60" customHeight="1" x14ac:dyDescent="0.35">
      <c r="A38" s="95" t="s">
        <v>204</v>
      </c>
      <c r="B38" s="95" t="s">
        <v>928</v>
      </c>
      <c r="C38" s="95" t="s">
        <v>929</v>
      </c>
      <c r="D38" s="95" t="s">
        <v>930</v>
      </c>
    </row>
    <row r="39" spans="1:4" ht="30" customHeight="1" x14ac:dyDescent="0.35">
      <c r="A39" s="207" t="s">
        <v>931</v>
      </c>
      <c r="B39" s="182"/>
      <c r="C39" s="182"/>
      <c r="D39" s="182"/>
    </row>
    <row r="40" spans="1:4" ht="29" x14ac:dyDescent="0.35">
      <c r="A40" s="91" t="s">
        <v>932</v>
      </c>
      <c r="B40" s="89"/>
      <c r="C40" s="89"/>
      <c r="D40" s="90"/>
    </row>
    <row r="41" spans="1:4" x14ac:dyDescent="0.35">
      <c r="A41" s="214" t="s">
        <v>933</v>
      </c>
      <c r="B41" s="200"/>
      <c r="C41" s="200"/>
      <c r="D41" s="201"/>
    </row>
    <row r="42" spans="1:4" x14ac:dyDescent="0.35">
      <c r="A42" s="220" t="s">
        <v>934</v>
      </c>
      <c r="B42" s="200"/>
      <c r="C42" s="200"/>
      <c r="D42" s="201"/>
    </row>
    <row r="43" spans="1:4" ht="91.5" customHeight="1" x14ac:dyDescent="0.35">
      <c r="A43" s="91" t="s">
        <v>935</v>
      </c>
      <c r="B43" s="89"/>
      <c r="C43" s="89"/>
      <c r="D43" s="90"/>
    </row>
    <row r="44" spans="1:4" ht="39.5" customHeight="1" x14ac:dyDescent="0.35">
      <c r="A44" s="75" t="s">
        <v>902</v>
      </c>
      <c r="B44" s="76" t="s">
        <v>936</v>
      </c>
      <c r="C44" s="76" t="s">
        <v>937</v>
      </c>
      <c r="D44" s="77" t="s">
        <v>938</v>
      </c>
    </row>
    <row r="45" spans="1:4" ht="78.5" customHeight="1" x14ac:dyDescent="0.35">
      <c r="A45" s="78" t="s">
        <v>939</v>
      </c>
      <c r="B45" s="79" t="s">
        <v>940</v>
      </c>
      <c r="C45" s="79" t="s">
        <v>941</v>
      </c>
      <c r="D45" s="80"/>
    </row>
    <row r="46" spans="1:4" ht="104.5" customHeight="1" x14ac:dyDescent="0.35">
      <c r="A46" s="75" t="s">
        <v>942</v>
      </c>
      <c r="B46" s="76" t="s">
        <v>943</v>
      </c>
      <c r="C46" s="76" t="s">
        <v>944</v>
      </c>
      <c r="D46" s="77"/>
    </row>
    <row r="47" spans="1:4" ht="104.5" customHeight="1" x14ac:dyDescent="0.35">
      <c r="A47" s="78" t="s">
        <v>945</v>
      </c>
      <c r="B47" s="79" t="s">
        <v>946</v>
      </c>
      <c r="C47" s="79" t="s">
        <v>947</v>
      </c>
      <c r="D47" s="80" t="s">
        <v>948</v>
      </c>
    </row>
    <row r="48" spans="1:4" x14ac:dyDescent="0.35">
      <c r="A48" s="204" t="s">
        <v>949</v>
      </c>
      <c r="B48" s="205"/>
      <c r="C48" s="205"/>
      <c r="D48" s="206"/>
    </row>
    <row r="49" spans="1:4" x14ac:dyDescent="0.35">
      <c r="A49" s="208"/>
      <c r="B49" s="182"/>
      <c r="C49" s="182"/>
      <c r="D49" s="182"/>
    </row>
    <row r="50" spans="1:4" ht="104.5" customHeight="1" x14ac:dyDescent="0.35">
      <c r="A50" s="92" t="s">
        <v>950</v>
      </c>
    </row>
    <row r="51" spans="1:4" ht="52.5" customHeight="1" x14ac:dyDescent="0.35">
      <c r="A51" s="93" t="s">
        <v>951</v>
      </c>
    </row>
    <row r="52" spans="1:4" ht="91.5" customHeight="1" x14ac:dyDescent="0.35">
      <c r="A52" s="87" t="s">
        <v>952</v>
      </c>
      <c r="B52" s="87" t="s">
        <v>953</v>
      </c>
      <c r="C52" s="87"/>
      <c r="D52" s="87"/>
    </row>
    <row r="53" spans="1:4" ht="78.5" customHeight="1" x14ac:dyDescent="0.35">
      <c r="A53" s="88" t="s">
        <v>954</v>
      </c>
      <c r="B53" s="88" t="s">
        <v>955</v>
      </c>
      <c r="C53" s="88"/>
      <c r="D53" s="88"/>
    </row>
    <row r="54" spans="1:4" ht="65.5" customHeight="1" x14ac:dyDescent="0.35">
      <c r="A54" s="87" t="s">
        <v>956</v>
      </c>
      <c r="B54" s="87" t="s">
        <v>957</v>
      </c>
      <c r="C54" s="87"/>
      <c r="D54" s="87"/>
    </row>
    <row r="55" spans="1:4" x14ac:dyDescent="0.35">
      <c r="A55" s="218" t="s">
        <v>958</v>
      </c>
      <c r="B55" s="182"/>
      <c r="C55" s="182"/>
      <c r="D55" s="182"/>
    </row>
    <row r="56" spans="1:4" x14ac:dyDescent="0.35">
      <c r="A56" s="213" t="s">
        <v>959</v>
      </c>
      <c r="B56" s="182"/>
      <c r="C56" s="182"/>
      <c r="D56" s="182"/>
    </row>
    <row r="57" spans="1:4" ht="91.5" customHeight="1" x14ac:dyDescent="0.35">
      <c r="A57" s="92" t="s">
        <v>960</v>
      </c>
    </row>
    <row r="58" spans="1:4" ht="78.5" customHeight="1" x14ac:dyDescent="0.35">
      <c r="A58" s="93" t="s">
        <v>961</v>
      </c>
    </row>
    <row r="59" spans="1:4" ht="91.5" customHeight="1" x14ac:dyDescent="0.35">
      <c r="A59" s="87" t="s">
        <v>962</v>
      </c>
      <c r="B59" s="87" t="s">
        <v>963</v>
      </c>
      <c r="C59" s="87"/>
      <c r="D59" s="87"/>
    </row>
    <row r="60" spans="1:4" ht="65.5" customHeight="1" x14ac:dyDescent="0.35">
      <c r="A60" s="88" t="s">
        <v>964</v>
      </c>
      <c r="B60" s="88" t="s">
        <v>965</v>
      </c>
      <c r="C60" s="88"/>
      <c r="D60" s="88"/>
    </row>
    <row r="61" spans="1:4" ht="91.5" customHeight="1" x14ac:dyDescent="0.35">
      <c r="A61" s="87" t="s">
        <v>966</v>
      </c>
      <c r="B61" s="87" t="s">
        <v>967</v>
      </c>
      <c r="C61" s="87"/>
      <c r="D61" s="87"/>
    </row>
    <row r="62" spans="1:4" ht="117.5" customHeight="1" x14ac:dyDescent="0.35">
      <c r="A62" s="88" t="s">
        <v>968</v>
      </c>
      <c r="B62" s="88" t="s">
        <v>969</v>
      </c>
      <c r="C62" s="88"/>
      <c r="D62" s="88"/>
    </row>
    <row r="63" spans="1:4" x14ac:dyDescent="0.35">
      <c r="A63" s="213" t="s">
        <v>970</v>
      </c>
      <c r="B63" s="182"/>
      <c r="C63" s="182"/>
      <c r="D63" s="182"/>
    </row>
    <row r="64" spans="1:4" x14ac:dyDescent="0.35">
      <c r="A64" s="217" t="s">
        <v>971</v>
      </c>
      <c r="B64" s="182"/>
      <c r="C64" s="182"/>
      <c r="D64" s="182"/>
    </row>
    <row r="65" spans="1:4" ht="39.5" customHeight="1" x14ac:dyDescent="0.35">
      <c r="A65" s="93" t="s">
        <v>972</v>
      </c>
    </row>
    <row r="66" spans="1:4" ht="52.5" customHeight="1" x14ac:dyDescent="0.35">
      <c r="A66" s="87" t="s">
        <v>973</v>
      </c>
      <c r="B66" s="87" t="s">
        <v>974</v>
      </c>
      <c r="C66" s="87"/>
      <c r="D66" s="87"/>
    </row>
    <row r="67" spans="1:4" ht="52.5" customHeight="1" x14ac:dyDescent="0.35">
      <c r="A67" s="88" t="s">
        <v>975</v>
      </c>
      <c r="B67" s="88" t="s">
        <v>976</v>
      </c>
      <c r="C67" s="88"/>
      <c r="D67" s="88"/>
    </row>
    <row r="68" spans="1:4" ht="52.5" customHeight="1" x14ac:dyDescent="0.35">
      <c r="A68" s="87" t="s">
        <v>977</v>
      </c>
      <c r="B68" s="87" t="s">
        <v>978</v>
      </c>
      <c r="C68" s="87"/>
      <c r="D68" s="87"/>
    </row>
    <row r="69" spans="1:4" ht="52.5" customHeight="1" x14ac:dyDescent="0.35">
      <c r="A69" s="88" t="s">
        <v>979</v>
      </c>
      <c r="B69" s="88" t="s">
        <v>980</v>
      </c>
      <c r="C69" s="88"/>
      <c r="D69" s="88"/>
    </row>
    <row r="70" spans="1:4" x14ac:dyDescent="0.35">
      <c r="A70" s="213" t="s">
        <v>981</v>
      </c>
      <c r="B70" s="182"/>
      <c r="C70" s="182"/>
      <c r="D70" s="182"/>
    </row>
    <row r="71" spans="1:4" ht="65.5" customHeight="1" x14ac:dyDescent="0.35">
      <c r="A71" s="88" t="s">
        <v>982</v>
      </c>
      <c r="B71" s="88" t="s">
        <v>983</v>
      </c>
      <c r="C71" s="88"/>
      <c r="D71" s="88"/>
    </row>
    <row r="72" spans="1:4" ht="39.5" customHeight="1" x14ac:dyDescent="0.35">
      <c r="A72" s="92" t="s">
        <v>984</v>
      </c>
    </row>
    <row r="73" spans="1:4" ht="39.5" customHeight="1" x14ac:dyDescent="0.35">
      <c r="A73" s="93" t="s">
        <v>985</v>
      </c>
    </row>
    <row r="74" spans="1:4" x14ac:dyDescent="0.35">
      <c r="A74" s="213" t="s">
        <v>986</v>
      </c>
      <c r="B74" s="182"/>
      <c r="C74" s="182"/>
      <c r="D74" s="182"/>
    </row>
    <row r="75" spans="1:4" ht="39.5" customHeight="1" x14ac:dyDescent="0.35">
      <c r="A75" s="88" t="s">
        <v>987</v>
      </c>
      <c r="B75" s="88" t="s">
        <v>988</v>
      </c>
      <c r="C75" s="88"/>
      <c r="D75" s="88"/>
    </row>
    <row r="76" spans="1:4" ht="26.5" customHeight="1" x14ac:dyDescent="0.35">
      <c r="A76" s="87" t="s">
        <v>989</v>
      </c>
      <c r="B76" s="87" t="s">
        <v>990</v>
      </c>
      <c r="C76" s="87"/>
      <c r="D76" s="87"/>
    </row>
    <row r="77" spans="1:4" ht="39.5" customHeight="1" x14ac:dyDescent="0.35">
      <c r="A77" s="88" t="s">
        <v>991</v>
      </c>
      <c r="B77" s="88" t="s">
        <v>992</v>
      </c>
      <c r="C77" s="88"/>
      <c r="D77" s="88"/>
    </row>
    <row r="78" spans="1:4" x14ac:dyDescent="0.35">
      <c r="A78" s="213" t="s">
        <v>993</v>
      </c>
      <c r="B78" s="182"/>
      <c r="C78" s="182"/>
      <c r="D78" s="182"/>
    </row>
    <row r="79" spans="1:4" x14ac:dyDescent="0.35">
      <c r="A79" s="209" t="s">
        <v>994</v>
      </c>
      <c r="B79" s="182"/>
      <c r="C79" s="182"/>
      <c r="D79" s="182"/>
    </row>
    <row r="80" spans="1:4" ht="39.5" customHeight="1" x14ac:dyDescent="0.35">
      <c r="A80" s="87" t="s">
        <v>995</v>
      </c>
      <c r="B80" s="87" t="s">
        <v>996</v>
      </c>
      <c r="C80" s="87"/>
      <c r="D80" s="87"/>
    </row>
    <row r="81" spans="1:4" ht="39.5" customHeight="1" x14ac:dyDescent="0.35">
      <c r="A81" s="88" t="s">
        <v>997</v>
      </c>
      <c r="B81" s="88" t="s">
        <v>998</v>
      </c>
      <c r="C81" s="88"/>
      <c r="D81" s="88"/>
    </row>
    <row r="82" spans="1:4" ht="39.5" customHeight="1" x14ac:dyDescent="0.35">
      <c r="A82" s="87" t="s">
        <v>999</v>
      </c>
      <c r="B82" s="87" t="s">
        <v>1000</v>
      </c>
      <c r="C82" s="87"/>
      <c r="D82" s="87"/>
    </row>
    <row r="83" spans="1:4" ht="39.5" customHeight="1" x14ac:dyDescent="0.35">
      <c r="A83" s="93" t="s">
        <v>1001</v>
      </c>
    </row>
    <row r="84" spans="1:4" ht="39.5" customHeight="1" x14ac:dyDescent="0.35">
      <c r="A84" s="87" t="s">
        <v>1002</v>
      </c>
      <c r="B84" s="87" t="s">
        <v>1003</v>
      </c>
      <c r="C84" s="87"/>
      <c r="D84" s="87"/>
    </row>
    <row r="85" spans="1:4" ht="26.5" customHeight="1" x14ac:dyDescent="0.35">
      <c r="A85" s="88" t="s">
        <v>1004</v>
      </c>
      <c r="B85" s="88" t="s">
        <v>1005</v>
      </c>
      <c r="C85" s="88"/>
      <c r="D85" s="88"/>
    </row>
    <row r="86" spans="1:4" ht="52.5" customHeight="1" x14ac:dyDescent="0.35">
      <c r="A86" s="87" t="s">
        <v>1006</v>
      </c>
      <c r="B86" s="87" t="s">
        <v>1007</v>
      </c>
      <c r="C86" s="87"/>
      <c r="D86" s="87"/>
    </row>
    <row r="87" spans="1:4" ht="52.5" customHeight="1" x14ac:dyDescent="0.35">
      <c r="A87" s="92" t="s">
        <v>1008</v>
      </c>
    </row>
    <row r="88" spans="1:4" ht="39.5" customHeight="1" x14ac:dyDescent="0.35">
      <c r="A88" s="93" t="s">
        <v>1009</v>
      </c>
    </row>
    <row r="89" spans="1:4" ht="39.5" customHeight="1" x14ac:dyDescent="0.35">
      <c r="A89" s="87" t="s">
        <v>1010</v>
      </c>
      <c r="B89" s="87" t="s">
        <v>1011</v>
      </c>
      <c r="C89" s="87"/>
      <c r="D89" s="87"/>
    </row>
    <row r="90" spans="1:4" ht="39.5" customHeight="1" x14ac:dyDescent="0.35">
      <c r="A90" s="88" t="s">
        <v>1012</v>
      </c>
      <c r="B90" s="88" t="s">
        <v>1013</v>
      </c>
      <c r="C90" s="88"/>
      <c r="D90" s="88"/>
    </row>
    <row r="91" spans="1:4" ht="52.5" customHeight="1" x14ac:dyDescent="0.35">
      <c r="A91" s="87" t="s">
        <v>1014</v>
      </c>
      <c r="B91" s="87" t="s">
        <v>1015</v>
      </c>
      <c r="C91" s="87"/>
      <c r="D91" s="87"/>
    </row>
    <row r="92" spans="1:4" ht="39.5" customHeight="1" x14ac:dyDescent="0.35">
      <c r="A92" s="88" t="s">
        <v>1016</v>
      </c>
      <c r="B92" s="88" t="s">
        <v>1017</v>
      </c>
      <c r="C92" s="88"/>
      <c r="D92" s="88"/>
    </row>
    <row r="93" spans="1:4" ht="39.5" customHeight="1" x14ac:dyDescent="0.35">
      <c r="A93" s="87" t="s">
        <v>1018</v>
      </c>
      <c r="B93" s="87" t="s">
        <v>1019</v>
      </c>
      <c r="C93" s="87"/>
      <c r="D93" s="87"/>
    </row>
    <row r="94" spans="1:4" ht="52.5" customHeight="1" x14ac:dyDescent="0.35">
      <c r="A94" s="88" t="s">
        <v>1020</v>
      </c>
      <c r="B94" s="88" t="s">
        <v>1021</v>
      </c>
      <c r="C94" s="88"/>
      <c r="D94" s="88"/>
    </row>
    <row r="95" spans="1:4" ht="26.5" customHeight="1" x14ac:dyDescent="0.35">
      <c r="A95" s="87" t="s">
        <v>1022</v>
      </c>
      <c r="B95" s="87" t="s">
        <v>1023</v>
      </c>
      <c r="C95" s="87"/>
      <c r="D95" s="87"/>
    </row>
    <row r="96" spans="1:4" ht="39.5" customHeight="1" x14ac:dyDescent="0.35">
      <c r="A96" s="88" t="s">
        <v>1024</v>
      </c>
      <c r="B96" s="88" t="s">
        <v>1025</v>
      </c>
      <c r="C96" s="88"/>
      <c r="D96" s="88"/>
    </row>
    <row r="97" spans="1:4" ht="26.5" customHeight="1" x14ac:dyDescent="0.35">
      <c r="A97" s="87" t="s">
        <v>1026</v>
      </c>
      <c r="B97" s="87" t="s">
        <v>1027</v>
      </c>
      <c r="C97" s="87"/>
      <c r="D97" s="87"/>
    </row>
    <row r="98" spans="1:4" ht="26.5" customHeight="1" x14ac:dyDescent="0.35">
      <c r="A98" s="88" t="s">
        <v>1028</v>
      </c>
      <c r="B98" s="88" t="s">
        <v>1029</v>
      </c>
      <c r="C98" s="88"/>
      <c r="D98" s="88"/>
    </row>
    <row r="99" spans="1:4" ht="78.5" customHeight="1" x14ac:dyDescent="0.35">
      <c r="A99" s="87" t="s">
        <v>1030</v>
      </c>
      <c r="B99" s="87" t="s">
        <v>1031</v>
      </c>
      <c r="C99" s="87"/>
      <c r="D99" s="87"/>
    </row>
    <row r="100" spans="1:4" ht="78.5" x14ac:dyDescent="0.35">
      <c r="A100" s="88" t="s">
        <v>1032</v>
      </c>
      <c r="B100" s="88" t="s">
        <v>1033</v>
      </c>
      <c r="C100" s="88"/>
      <c r="D100" s="88"/>
    </row>
    <row r="101" spans="1:4" ht="65.5" x14ac:dyDescent="0.35">
      <c r="A101" s="87" t="s">
        <v>1034</v>
      </c>
      <c r="B101" s="87" t="s">
        <v>1035</v>
      </c>
      <c r="C101" s="87"/>
      <c r="D101" s="87"/>
    </row>
    <row r="102" spans="1:4" ht="65.5" x14ac:dyDescent="0.35">
      <c r="A102" s="88" t="s">
        <v>1036</v>
      </c>
      <c r="B102" s="88" t="s">
        <v>1037</v>
      </c>
      <c r="C102" s="88"/>
      <c r="D102" s="88"/>
    </row>
    <row r="103" spans="1:4" ht="78.5" x14ac:dyDescent="0.35">
      <c r="A103" s="87" t="s">
        <v>1038</v>
      </c>
      <c r="B103" s="87" t="s">
        <v>1039</v>
      </c>
      <c r="C103" s="87"/>
      <c r="D103" s="87"/>
    </row>
    <row r="104" spans="1:4" ht="52.5" x14ac:dyDescent="0.35">
      <c r="A104" s="88" t="s">
        <v>1040</v>
      </c>
      <c r="B104" s="88" t="s">
        <v>1041</v>
      </c>
      <c r="C104" s="88"/>
      <c r="D104" s="88"/>
    </row>
    <row r="105" spans="1:4" ht="65.5" x14ac:dyDescent="0.35">
      <c r="A105" s="87" t="s">
        <v>1042</v>
      </c>
      <c r="B105" s="87" t="s">
        <v>1043</v>
      </c>
      <c r="C105" s="87"/>
      <c r="D105" s="87"/>
    </row>
    <row r="106" spans="1:4" ht="39.5" x14ac:dyDescent="0.35">
      <c r="A106" s="88" t="s">
        <v>1044</v>
      </c>
      <c r="B106" s="88" t="s">
        <v>1045</v>
      </c>
      <c r="C106" s="88"/>
      <c r="D106" s="88"/>
    </row>
    <row r="107" spans="1:4" ht="52.5" x14ac:dyDescent="0.35">
      <c r="A107" s="87" t="s">
        <v>1046</v>
      </c>
      <c r="B107" s="87" t="s">
        <v>1047</v>
      </c>
      <c r="C107" s="87"/>
      <c r="D107" s="87"/>
    </row>
    <row r="108" spans="1:4" ht="117.5" x14ac:dyDescent="0.35">
      <c r="A108" s="88" t="s">
        <v>1048</v>
      </c>
      <c r="B108" s="88" t="s">
        <v>1049</v>
      </c>
      <c r="C108" s="88"/>
      <c r="D108" s="88"/>
    </row>
    <row r="110" spans="1:4" ht="40" customHeight="1" x14ac:dyDescent="0.35">
      <c r="A110" s="210" t="s">
        <v>1718</v>
      </c>
      <c r="B110" s="211"/>
      <c r="C110" s="211"/>
      <c r="D110" s="211"/>
    </row>
    <row r="111" spans="1:4" ht="40" customHeight="1" x14ac:dyDescent="0.35">
      <c r="A111" s="215" t="s">
        <v>1050</v>
      </c>
      <c r="B111" s="215"/>
      <c r="C111" s="215"/>
      <c r="D111" s="215"/>
    </row>
    <row r="112" spans="1:4" ht="40" customHeight="1" x14ac:dyDescent="0.35">
      <c r="A112" s="198" t="s">
        <v>1051</v>
      </c>
      <c r="B112" s="198"/>
      <c r="C112" s="198"/>
      <c r="D112" s="198"/>
    </row>
    <row r="113" spans="1:4" ht="55" customHeight="1" x14ac:dyDescent="0.35">
      <c r="A113" s="212" t="s">
        <v>1052</v>
      </c>
      <c r="B113" s="212"/>
      <c r="C113" s="212"/>
      <c r="D113" s="212"/>
    </row>
    <row r="114" spans="1:4" ht="55" customHeight="1" x14ac:dyDescent="0.35">
      <c r="A114" s="216" t="s">
        <v>1053</v>
      </c>
      <c r="B114" s="216"/>
      <c r="C114" s="216"/>
      <c r="D114" s="216"/>
    </row>
    <row r="115" spans="1:4" ht="55" customHeight="1" x14ac:dyDescent="0.35">
      <c r="A115" s="212" t="s">
        <v>1054</v>
      </c>
      <c r="B115" s="212"/>
      <c r="C115" s="212"/>
      <c r="D115" s="212"/>
    </row>
    <row r="116" spans="1:4" ht="40" customHeight="1" x14ac:dyDescent="0.35">
      <c r="A116" s="211" t="s">
        <v>1055</v>
      </c>
      <c r="B116" s="211"/>
      <c r="C116" s="211"/>
      <c r="D116" s="211"/>
    </row>
    <row r="117" spans="1:4" ht="40" customHeight="1" x14ac:dyDescent="0.35">
      <c r="A117" s="215" t="s">
        <v>1056</v>
      </c>
      <c r="B117" s="215"/>
      <c r="C117" s="215"/>
      <c r="D117" s="215"/>
    </row>
    <row r="118" spans="1:4" ht="40" customHeight="1" x14ac:dyDescent="0.35">
      <c r="A118" s="198" t="s">
        <v>1057</v>
      </c>
      <c r="B118" s="198"/>
      <c r="C118" s="198"/>
      <c r="D118" s="198"/>
    </row>
    <row r="119" spans="1:4" ht="55" customHeight="1" x14ac:dyDescent="0.35">
      <c r="A119" s="212" t="s">
        <v>1058</v>
      </c>
      <c r="B119" s="212"/>
      <c r="C119" s="212"/>
      <c r="D119" s="212"/>
    </row>
    <row r="120" spans="1:4" ht="40" customHeight="1" x14ac:dyDescent="0.35">
      <c r="A120" s="198" t="s">
        <v>1059</v>
      </c>
      <c r="B120" s="198"/>
      <c r="C120" s="198"/>
      <c r="D120" s="198"/>
    </row>
    <row r="121" spans="1:4" ht="30" customHeight="1" x14ac:dyDescent="0.35">
      <c r="A121" s="99" t="s">
        <v>1060</v>
      </c>
      <c r="B121" s="99" t="s">
        <v>1061</v>
      </c>
      <c r="C121" s="99" t="s">
        <v>1062</v>
      </c>
    </row>
    <row r="122" spans="1:4" ht="70" customHeight="1" x14ac:dyDescent="0.35">
      <c r="A122" s="100" t="s">
        <v>1063</v>
      </c>
      <c r="B122" s="100" t="s">
        <v>1064</v>
      </c>
      <c r="C122" s="100" t="s">
        <v>1065</v>
      </c>
    </row>
    <row r="123" spans="1:4" ht="70" customHeight="1" x14ac:dyDescent="0.35">
      <c r="A123" s="101" t="s">
        <v>1066</v>
      </c>
      <c r="B123" s="101" t="s">
        <v>1067</v>
      </c>
      <c r="C123" s="101" t="s">
        <v>1068</v>
      </c>
    </row>
    <row r="124" spans="1:4" ht="70" customHeight="1" x14ac:dyDescent="0.35">
      <c r="A124" s="100" t="s">
        <v>1069</v>
      </c>
      <c r="B124" s="100" t="s">
        <v>1070</v>
      </c>
      <c r="C124" s="100" t="s">
        <v>1071</v>
      </c>
    </row>
    <row r="125" spans="1:4" ht="70" customHeight="1" x14ac:dyDescent="0.35">
      <c r="A125" s="101" t="s">
        <v>1072</v>
      </c>
      <c r="B125" s="101" t="s">
        <v>1073</v>
      </c>
      <c r="C125" s="101" t="s">
        <v>1074</v>
      </c>
    </row>
    <row r="126" spans="1:4" ht="40" customHeight="1" x14ac:dyDescent="0.35">
      <c r="A126" s="198" t="s">
        <v>1075</v>
      </c>
      <c r="B126" s="198"/>
      <c r="C126" s="198"/>
      <c r="D126" s="198"/>
    </row>
    <row r="127" spans="1:4" ht="50" customHeight="1" x14ac:dyDescent="0.35">
      <c r="A127" s="212" t="s">
        <v>1076</v>
      </c>
      <c r="B127" s="212"/>
      <c r="C127" s="212"/>
      <c r="D127" s="212"/>
    </row>
    <row r="128" spans="1:4" ht="40" customHeight="1" x14ac:dyDescent="0.35">
      <c r="A128" s="198" t="s">
        <v>1077</v>
      </c>
      <c r="B128" s="198"/>
      <c r="C128" s="198"/>
      <c r="D128" s="198"/>
    </row>
    <row r="129" spans="1:4" ht="45" customHeight="1" x14ac:dyDescent="0.35">
      <c r="A129" s="212" t="s">
        <v>1078</v>
      </c>
      <c r="B129" s="212"/>
      <c r="C129" s="212"/>
      <c r="D129" s="212"/>
    </row>
    <row r="130" spans="1:4" ht="45" customHeight="1" x14ac:dyDescent="0.35">
      <c r="A130" s="216" t="s">
        <v>1079</v>
      </c>
      <c r="B130" s="216"/>
      <c r="C130" s="216"/>
      <c r="D130" s="216"/>
    </row>
    <row r="131" spans="1:4" ht="45" customHeight="1" x14ac:dyDescent="0.35">
      <c r="A131" s="212" t="s">
        <v>1080</v>
      </c>
      <c r="B131" s="212"/>
      <c r="C131" s="212"/>
      <c r="D131" s="212"/>
    </row>
    <row r="133" spans="1:4" ht="40" customHeight="1" x14ac:dyDescent="0.35">
      <c r="A133" s="211" t="s">
        <v>1081</v>
      </c>
      <c r="B133" s="211"/>
      <c r="C133" s="211"/>
      <c r="D133" s="211"/>
    </row>
    <row r="134" spans="1:4" ht="55" customHeight="1" x14ac:dyDescent="0.35">
      <c r="A134" s="212" t="s">
        <v>1082</v>
      </c>
      <c r="B134" s="212"/>
      <c r="C134" s="212"/>
      <c r="D134" s="212"/>
    </row>
    <row r="135" spans="1:4" ht="55" customHeight="1" x14ac:dyDescent="0.35">
      <c r="A135" s="216" t="s">
        <v>1083</v>
      </c>
      <c r="B135" s="216"/>
      <c r="C135" s="216"/>
      <c r="D135" s="216"/>
    </row>
    <row r="136" spans="1:4" ht="55" customHeight="1" x14ac:dyDescent="0.35">
      <c r="A136" s="212" t="s">
        <v>1084</v>
      </c>
      <c r="B136" s="212"/>
      <c r="C136" s="212"/>
      <c r="D136" s="212"/>
    </row>
    <row r="137" spans="1:4" ht="55" customHeight="1" x14ac:dyDescent="0.35">
      <c r="A137" s="216" t="s">
        <v>1085</v>
      </c>
      <c r="B137" s="216"/>
      <c r="C137" s="216"/>
      <c r="D137" s="216"/>
    </row>
  </sheetData>
  <mergeCells count="45">
    <mergeCell ref="A1:D1"/>
    <mergeCell ref="A70:D70"/>
    <mergeCell ref="A3:D3"/>
    <mergeCell ref="A21:D21"/>
    <mergeCell ref="A26:D26"/>
    <mergeCell ref="A8:D8"/>
    <mergeCell ref="A74:D74"/>
    <mergeCell ref="A126:D126"/>
    <mergeCell ref="A55:D55"/>
    <mergeCell ref="A116:D116"/>
    <mergeCell ref="A2:D2"/>
    <mergeCell ref="A42:D42"/>
    <mergeCell ref="A32:D32"/>
    <mergeCell ref="A137:D137"/>
    <mergeCell ref="A133:D133"/>
    <mergeCell ref="A63:D63"/>
    <mergeCell ref="A115:D115"/>
    <mergeCell ref="A136:D136"/>
    <mergeCell ref="A111:D111"/>
    <mergeCell ref="A114:D114"/>
    <mergeCell ref="A64:D64"/>
    <mergeCell ref="A129:D129"/>
    <mergeCell ref="A119:D119"/>
    <mergeCell ref="A134:D134"/>
    <mergeCell ref="A135:D135"/>
    <mergeCell ref="A130:D130"/>
    <mergeCell ref="A120:D120"/>
    <mergeCell ref="A113:D113"/>
    <mergeCell ref="A131:D131"/>
    <mergeCell ref="A128:D128"/>
    <mergeCell ref="A112:D112"/>
    <mergeCell ref="A13:D13"/>
    <mergeCell ref="A31:D31"/>
    <mergeCell ref="A34:D34"/>
    <mergeCell ref="A48:D48"/>
    <mergeCell ref="A39:D39"/>
    <mergeCell ref="A49:D49"/>
    <mergeCell ref="A79:D79"/>
    <mergeCell ref="A110:D110"/>
    <mergeCell ref="A127:D127"/>
    <mergeCell ref="A78:D78"/>
    <mergeCell ref="A41:D41"/>
    <mergeCell ref="A118:D118"/>
    <mergeCell ref="A56:D56"/>
    <mergeCell ref="A117:D1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6F65F-0E0E-40E8-8FF3-912C16DF6A4B}">
  <dimension ref="A1:E118"/>
  <sheetViews>
    <sheetView tabSelected="1" workbookViewId="0">
      <selection activeCell="C16" sqref="C16"/>
    </sheetView>
  </sheetViews>
  <sheetFormatPr defaultRowHeight="14.5" x14ac:dyDescent="0.35"/>
  <cols>
    <col min="1" max="1" width="36.36328125" customWidth="1"/>
    <col min="2" max="2" width="61.81640625" customWidth="1"/>
    <col min="3" max="3" width="54.54296875" customWidth="1"/>
    <col min="4" max="4" width="43.6328125" customWidth="1"/>
    <col min="5" max="5" width="32.7265625" customWidth="1"/>
  </cols>
  <sheetData>
    <row r="1" spans="1:5" x14ac:dyDescent="0.35">
      <c r="A1" t="s">
        <v>3771</v>
      </c>
    </row>
    <row r="2" spans="1:5" x14ac:dyDescent="0.35">
      <c r="A2" t="s">
        <v>3772</v>
      </c>
    </row>
    <row r="3" spans="1:5" x14ac:dyDescent="0.35">
      <c r="A3" t="s">
        <v>3773</v>
      </c>
    </row>
    <row r="4" spans="1:5" x14ac:dyDescent="0.35">
      <c r="A4" t="s">
        <v>3774</v>
      </c>
    </row>
    <row r="5" spans="1:5" x14ac:dyDescent="0.35">
      <c r="A5" t="s">
        <v>3775</v>
      </c>
      <c r="B5" t="s">
        <v>3776</v>
      </c>
      <c r="C5" t="s">
        <v>3777</v>
      </c>
      <c r="D5" t="s">
        <v>3778</v>
      </c>
      <c r="E5" t="s">
        <v>3779</v>
      </c>
    </row>
    <row r="6" spans="1:5" x14ac:dyDescent="0.35">
      <c r="A6" t="s">
        <v>3780</v>
      </c>
      <c r="B6" t="s">
        <v>3781</v>
      </c>
      <c r="C6" t="s">
        <v>3782</v>
      </c>
      <c r="D6" s="309">
        <f>IFERROR('[1]External Interface'!B11,"#REF!")</f>
        <v>165000</v>
      </c>
      <c r="E6" t="s">
        <v>3783</v>
      </c>
    </row>
    <row r="7" spans="1:5" x14ac:dyDescent="0.35">
      <c r="A7" t="s">
        <v>3784</v>
      </c>
      <c r="B7" t="s">
        <v>3785</v>
      </c>
      <c r="C7" t="s">
        <v>3786</v>
      </c>
      <c r="D7" s="309">
        <f>IFERROR('[1]External Interface'!B7,"#REF!")</f>
        <v>100000</v>
      </c>
      <c r="E7" t="s">
        <v>3787</v>
      </c>
    </row>
    <row r="8" spans="1:5" x14ac:dyDescent="0.35">
      <c r="A8" t="s">
        <v>3788</v>
      </c>
      <c r="B8" t="s">
        <v>3789</v>
      </c>
      <c r="C8" t="s">
        <v>3790</v>
      </c>
      <c r="D8" s="309">
        <f>IFERROR('[1]External Interface'!B8,"#REF!")</f>
        <v>104000</v>
      </c>
      <c r="E8" t="s">
        <v>3791</v>
      </c>
    </row>
    <row r="9" spans="1:5" x14ac:dyDescent="0.35">
      <c r="A9" t="s">
        <v>3792</v>
      </c>
      <c r="B9" t="s">
        <v>3793</v>
      </c>
      <c r="C9" t="s">
        <v>3794</v>
      </c>
      <c r="D9" s="309">
        <f>IFERROR('[1]External Interface'!B9,"#REF!")</f>
        <v>137000</v>
      </c>
      <c r="E9" t="s">
        <v>3795</v>
      </c>
    </row>
    <row r="10" spans="1:5" x14ac:dyDescent="0.35">
      <c r="A10" t="s">
        <v>3796</v>
      </c>
      <c r="B10" t="s">
        <v>3797</v>
      </c>
      <c r="C10" t="s">
        <v>3798</v>
      </c>
      <c r="D10" s="309">
        <f>IFERROR('[1]External Interface'!B10,"#REF!")</f>
        <v>146000</v>
      </c>
      <c r="E10" t="s">
        <v>3799</v>
      </c>
    </row>
    <row r="11" spans="1:5" x14ac:dyDescent="0.35">
      <c r="A11" t="s">
        <v>3800</v>
      </c>
      <c r="B11" t="s">
        <v>3801</v>
      </c>
      <c r="C11" t="s">
        <v>3802</v>
      </c>
      <c r="D11" s="309">
        <f>IFERROR('[1]External Interface'!B86,"#REF!")</f>
        <v>4125000</v>
      </c>
      <c r="E11" t="s">
        <v>3803</v>
      </c>
    </row>
    <row r="12" spans="1:5" x14ac:dyDescent="0.35">
      <c r="A12" t="s">
        <v>3804</v>
      </c>
      <c r="B12" t="s">
        <v>3805</v>
      </c>
      <c r="C12" t="s">
        <v>3806</v>
      </c>
      <c r="D12" s="309">
        <f>IFERROR('[1]External Interface'!B80,"#REF!")</f>
        <v>2500000</v>
      </c>
      <c r="E12" t="s">
        <v>3807</v>
      </c>
    </row>
    <row r="13" spans="1:5" x14ac:dyDescent="0.35">
      <c r="A13" t="s">
        <v>3808</v>
      </c>
      <c r="B13" t="s">
        <v>3809</v>
      </c>
      <c r="C13" t="s">
        <v>3810</v>
      </c>
      <c r="D13" s="309">
        <f>IFERROR('[1]External Interface'!B85,"#REF!")</f>
        <v>3425000</v>
      </c>
      <c r="E13" t="s">
        <v>3811</v>
      </c>
    </row>
    <row r="14" spans="1:5" x14ac:dyDescent="0.35">
      <c r="A14" t="s">
        <v>3812</v>
      </c>
      <c r="B14" t="s">
        <v>3813</v>
      </c>
      <c r="C14" t="s">
        <v>3814</v>
      </c>
      <c r="D14" s="309">
        <f>IFERROR('[1]External Interface'!B66,"#REF!")</f>
        <v>10778000</v>
      </c>
      <c r="E14" t="s">
        <v>3815</v>
      </c>
    </row>
    <row r="15" spans="1:5" x14ac:dyDescent="0.35">
      <c r="A15" t="s">
        <v>3816</v>
      </c>
      <c r="B15" t="s">
        <v>3817</v>
      </c>
      <c r="C15" t="s">
        <v>3818</v>
      </c>
      <c r="D15" s="309">
        <f ca="1">IFERROR('[1]External Interface'!B68,"#REF!")</f>
        <v>7229166.8169023599</v>
      </c>
      <c r="E15" t="s">
        <v>3819</v>
      </c>
    </row>
    <row r="16" spans="1:5" x14ac:dyDescent="0.35">
      <c r="A16" t="s">
        <v>3820</v>
      </c>
      <c r="B16" t="s">
        <v>3821</v>
      </c>
      <c r="C16" t="s">
        <v>3822</v>
      </c>
      <c r="D16" s="309">
        <f ca="1">IFERROR('[1]External Interface'!B70,"#REF!")</f>
        <v>4543563.3269906333</v>
      </c>
      <c r="E16" t="s">
        <v>3823</v>
      </c>
    </row>
    <row r="17" spans="1:5" x14ac:dyDescent="0.35">
      <c r="A17" t="s">
        <v>3824</v>
      </c>
      <c r="B17" t="s">
        <v>3825</v>
      </c>
      <c r="C17" t="s">
        <v>3826</v>
      </c>
      <c r="D17" s="310">
        <f>IFERROR('[1]External Interface'!B27,"#REF!")</f>
        <v>0.99809999999999999</v>
      </c>
      <c r="E17" t="s">
        <v>3827</v>
      </c>
    </row>
    <row r="18" spans="1:5" x14ac:dyDescent="0.35">
      <c r="A18" t="s">
        <v>3828</v>
      </c>
      <c r="B18" t="s">
        <v>3829</v>
      </c>
      <c r="C18" t="s">
        <v>3830</v>
      </c>
      <c r="D18" t="s">
        <v>3829</v>
      </c>
      <c r="E18" t="s">
        <v>3831</v>
      </c>
    </row>
    <row r="19" spans="1:5" x14ac:dyDescent="0.35">
      <c r="A19" t="s">
        <v>3832</v>
      </c>
    </row>
    <row r="20" spans="1:5" x14ac:dyDescent="0.35">
      <c r="A20" t="s">
        <v>3833</v>
      </c>
      <c r="B20" t="s">
        <v>3834</v>
      </c>
      <c r="C20" t="s">
        <v>3835</v>
      </c>
      <c r="D20" t="s">
        <v>4</v>
      </c>
      <c r="E20" t="s">
        <v>3836</v>
      </c>
    </row>
    <row r="21" spans="1:5" x14ac:dyDescent="0.35">
      <c r="A21" t="s">
        <v>3837</v>
      </c>
      <c r="B21" t="s">
        <v>3838</v>
      </c>
      <c r="C21" t="s">
        <v>3839</v>
      </c>
      <c r="D21" t="s">
        <v>4</v>
      </c>
      <c r="E21" t="s">
        <v>3840</v>
      </c>
    </row>
    <row r="22" spans="1:5" x14ac:dyDescent="0.35">
      <c r="A22" t="s">
        <v>3841</v>
      </c>
      <c r="B22" t="s">
        <v>3842</v>
      </c>
      <c r="C22" t="s">
        <v>3843</v>
      </c>
      <c r="D22" t="s">
        <v>4</v>
      </c>
      <c r="E22" t="s">
        <v>3844</v>
      </c>
    </row>
    <row r="24" spans="1:5" x14ac:dyDescent="0.35">
      <c r="A24" t="s">
        <v>3845</v>
      </c>
    </row>
    <row r="25" spans="1:5" x14ac:dyDescent="0.35">
      <c r="A25" t="s">
        <v>3846</v>
      </c>
    </row>
    <row r="26" spans="1:5" x14ac:dyDescent="0.35">
      <c r="A26" t="s">
        <v>3847</v>
      </c>
    </row>
    <row r="27" spans="1:5" x14ac:dyDescent="0.35">
      <c r="A27" t="s">
        <v>3848</v>
      </c>
    </row>
    <row r="28" spans="1:5" x14ac:dyDescent="0.35">
      <c r="A28" t="s">
        <v>3849</v>
      </c>
    </row>
    <row r="29" spans="1:5" x14ac:dyDescent="0.35">
      <c r="A29" t="s">
        <v>3850</v>
      </c>
    </row>
    <row r="31" spans="1:5" x14ac:dyDescent="0.35">
      <c r="A31" t="s">
        <v>3851</v>
      </c>
    </row>
    <row r="32" spans="1:5" x14ac:dyDescent="0.35">
      <c r="A32" t="s">
        <v>3852</v>
      </c>
    </row>
    <row r="34" spans="1:5" x14ac:dyDescent="0.35">
      <c r="A34" t="s">
        <v>3853</v>
      </c>
      <c r="B34" t="s">
        <v>3854</v>
      </c>
      <c r="C34" t="s">
        <v>3855</v>
      </c>
      <c r="D34" t="s">
        <v>3856</v>
      </c>
      <c r="E34" t="s">
        <v>3857</v>
      </c>
    </row>
    <row r="35" spans="1:5" x14ac:dyDescent="0.35">
      <c r="A35" t="s">
        <v>3858</v>
      </c>
      <c r="B35" t="s">
        <v>3859</v>
      </c>
      <c r="C35" t="s">
        <v>3780</v>
      </c>
      <c r="D35" t="s">
        <v>3860</v>
      </c>
      <c r="E35" t="s">
        <v>3861</v>
      </c>
    </row>
    <row r="36" spans="1:5" x14ac:dyDescent="0.35">
      <c r="A36" t="s">
        <v>3862</v>
      </c>
      <c r="B36" t="s">
        <v>3863</v>
      </c>
      <c r="C36" t="s">
        <v>3788</v>
      </c>
      <c r="D36" t="s">
        <v>3864</v>
      </c>
      <c r="E36" t="s">
        <v>3865</v>
      </c>
    </row>
    <row r="37" spans="1:5" x14ac:dyDescent="0.35">
      <c r="A37" t="s">
        <v>3866</v>
      </c>
      <c r="B37" t="s">
        <v>3867</v>
      </c>
      <c r="C37" t="s">
        <v>3868</v>
      </c>
      <c r="D37" t="s">
        <v>3869</v>
      </c>
      <c r="E37" t="s">
        <v>3870</v>
      </c>
    </row>
    <row r="38" spans="1:5" x14ac:dyDescent="0.35">
      <c r="A38" t="s">
        <v>3871</v>
      </c>
      <c r="B38" t="s">
        <v>3872</v>
      </c>
      <c r="C38" t="s">
        <v>3868</v>
      </c>
      <c r="D38" t="s">
        <v>3873</v>
      </c>
      <c r="E38" t="s">
        <v>3874</v>
      </c>
    </row>
    <row r="40" spans="1:5" x14ac:dyDescent="0.35">
      <c r="A40" t="s">
        <v>3875</v>
      </c>
    </row>
    <row r="41" spans="1:5" x14ac:dyDescent="0.35">
      <c r="A41" t="s">
        <v>3876</v>
      </c>
    </row>
    <row r="43" spans="1:5" x14ac:dyDescent="0.35">
      <c r="A43" t="s">
        <v>3877</v>
      </c>
    </row>
    <row r="44" spans="1:5" x14ac:dyDescent="0.35">
      <c r="A44" t="s">
        <v>3878</v>
      </c>
    </row>
    <row r="45" spans="1:5" x14ac:dyDescent="0.35">
      <c r="A45" t="s">
        <v>3879</v>
      </c>
    </row>
    <row r="46" spans="1:5" x14ac:dyDescent="0.35">
      <c r="A46" t="s">
        <v>3880</v>
      </c>
    </row>
    <row r="47" spans="1:5" x14ac:dyDescent="0.35">
      <c r="A47" t="s">
        <v>3881</v>
      </c>
    </row>
    <row r="48" spans="1:5" x14ac:dyDescent="0.35">
      <c r="A48" t="s">
        <v>3882</v>
      </c>
    </row>
    <row r="50" spans="1:5" ht="18.5" x14ac:dyDescent="0.45">
      <c r="A50" s="311" t="s">
        <v>3883</v>
      </c>
      <c r="B50" s="182"/>
      <c r="C50" s="182"/>
      <c r="D50" s="182"/>
      <c r="E50" s="182"/>
    </row>
    <row r="51" spans="1:5" ht="60" customHeight="1" x14ac:dyDescent="0.35">
      <c r="A51" s="312" t="s">
        <v>3884</v>
      </c>
      <c r="B51" s="182"/>
      <c r="C51" s="182"/>
      <c r="D51" s="182"/>
      <c r="E51" s="182"/>
    </row>
    <row r="53" spans="1:5" x14ac:dyDescent="0.35">
      <c r="A53" s="313" t="s">
        <v>3885</v>
      </c>
      <c r="B53" s="182"/>
      <c r="C53" s="182"/>
      <c r="D53" s="182"/>
      <c r="E53" s="182"/>
    </row>
    <row r="54" spans="1:5" x14ac:dyDescent="0.35">
      <c r="A54" s="135" t="s">
        <v>2339</v>
      </c>
      <c r="B54" s="135" t="s">
        <v>3886</v>
      </c>
      <c r="C54" s="135" t="s">
        <v>3887</v>
      </c>
      <c r="D54" s="135" t="s">
        <v>3888</v>
      </c>
      <c r="E54" s="135" t="s">
        <v>630</v>
      </c>
    </row>
    <row r="55" spans="1:5" ht="29" x14ac:dyDescent="0.35">
      <c r="A55" s="127">
        <v>1</v>
      </c>
      <c r="B55" s="127" t="s">
        <v>3889</v>
      </c>
      <c r="C55" s="127" t="s">
        <v>3890</v>
      </c>
      <c r="D55" s="127" t="s">
        <v>3891</v>
      </c>
      <c r="E55" s="127" t="s">
        <v>3892</v>
      </c>
    </row>
    <row r="56" spans="1:5" ht="29" x14ac:dyDescent="0.35">
      <c r="A56" s="127">
        <v>2</v>
      </c>
      <c r="B56" s="127" t="s">
        <v>3893</v>
      </c>
      <c r="C56" s="127" t="s">
        <v>3894</v>
      </c>
      <c r="D56" s="127" t="s">
        <v>3895</v>
      </c>
      <c r="E56" s="127" t="s">
        <v>3896</v>
      </c>
    </row>
    <row r="57" spans="1:5" ht="29" x14ac:dyDescent="0.35">
      <c r="A57" s="127">
        <v>3</v>
      </c>
      <c r="B57" s="127" t="s">
        <v>3897</v>
      </c>
      <c r="C57" s="127" t="s">
        <v>3898</v>
      </c>
      <c r="D57" s="127" t="s">
        <v>3899</v>
      </c>
      <c r="E57" s="127" t="s">
        <v>3900</v>
      </c>
    </row>
    <row r="58" spans="1:5" ht="29" x14ac:dyDescent="0.35">
      <c r="A58" s="127">
        <v>4</v>
      </c>
      <c r="B58" s="127" t="s">
        <v>3901</v>
      </c>
      <c r="C58" s="127" t="s">
        <v>3902</v>
      </c>
      <c r="D58" s="127" t="s">
        <v>3903</v>
      </c>
      <c r="E58" s="127" t="s">
        <v>3904</v>
      </c>
    </row>
    <row r="59" spans="1:5" ht="29" x14ac:dyDescent="0.35">
      <c r="A59" s="127">
        <v>5</v>
      </c>
      <c r="B59" s="127" t="s">
        <v>3905</v>
      </c>
      <c r="C59" s="127" t="s">
        <v>3906</v>
      </c>
      <c r="D59" s="127" t="s">
        <v>3907</v>
      </c>
      <c r="E59" s="127" t="s">
        <v>3908</v>
      </c>
    </row>
    <row r="60" spans="1:5" ht="29" x14ac:dyDescent="0.35">
      <c r="A60" s="127">
        <v>6</v>
      </c>
      <c r="B60" s="127" t="s">
        <v>3909</v>
      </c>
      <c r="C60" s="127" t="s">
        <v>3910</v>
      </c>
      <c r="D60" s="127" t="s">
        <v>3911</v>
      </c>
      <c r="E60" s="127" t="s">
        <v>3912</v>
      </c>
    </row>
    <row r="62" spans="1:5" x14ac:dyDescent="0.35">
      <c r="A62" s="313" t="s">
        <v>3913</v>
      </c>
      <c r="B62" s="182"/>
      <c r="C62" s="182"/>
      <c r="D62" s="182"/>
      <c r="E62" s="182"/>
    </row>
    <row r="63" spans="1:5" x14ac:dyDescent="0.35">
      <c r="A63" s="135" t="s">
        <v>3914</v>
      </c>
      <c r="B63" s="135" t="s">
        <v>3915</v>
      </c>
      <c r="C63" s="135" t="s">
        <v>3916</v>
      </c>
      <c r="D63" s="135" t="s">
        <v>3917</v>
      </c>
      <c r="E63" s="135" t="s">
        <v>3887</v>
      </c>
    </row>
    <row r="64" spans="1:5" ht="50" customHeight="1" x14ac:dyDescent="0.35">
      <c r="A64" s="127" t="s">
        <v>3918</v>
      </c>
      <c r="B64" s="127" t="s">
        <v>3919</v>
      </c>
      <c r="C64" s="127" t="s">
        <v>3920</v>
      </c>
      <c r="D64" s="127" t="s">
        <v>3921</v>
      </c>
      <c r="E64" s="127" t="s">
        <v>3922</v>
      </c>
    </row>
    <row r="65" spans="1:5" ht="50" customHeight="1" x14ac:dyDescent="0.35">
      <c r="A65" s="127" t="s">
        <v>3923</v>
      </c>
      <c r="B65" s="127" t="s">
        <v>3924</v>
      </c>
      <c r="C65" s="127" t="s">
        <v>3920</v>
      </c>
      <c r="D65" s="127" t="s">
        <v>3925</v>
      </c>
      <c r="E65" s="127" t="s">
        <v>3926</v>
      </c>
    </row>
    <row r="66" spans="1:5" ht="50" customHeight="1" x14ac:dyDescent="0.35">
      <c r="A66" s="127" t="s">
        <v>3780</v>
      </c>
      <c r="B66" s="127" t="s">
        <v>3927</v>
      </c>
      <c r="C66" s="127" t="s">
        <v>3920</v>
      </c>
      <c r="D66" s="127" t="s">
        <v>3928</v>
      </c>
      <c r="E66" s="127" t="s">
        <v>3922</v>
      </c>
    </row>
    <row r="68" spans="1:5" ht="43.5" customHeight="1" x14ac:dyDescent="0.35">
      <c r="A68" s="314" t="s">
        <v>3929</v>
      </c>
      <c r="B68" s="241"/>
      <c r="C68" s="241"/>
      <c r="D68" s="241"/>
      <c r="E68" s="241"/>
    </row>
    <row r="69" spans="1:5" x14ac:dyDescent="0.35">
      <c r="A69" s="135" t="s">
        <v>1858</v>
      </c>
      <c r="B69" s="135" t="s">
        <v>3930</v>
      </c>
      <c r="C69" s="135" t="s">
        <v>3931</v>
      </c>
      <c r="D69" s="135" t="s">
        <v>3932</v>
      </c>
      <c r="E69" s="135" t="s">
        <v>3933</v>
      </c>
    </row>
    <row r="70" spans="1:5" ht="29" x14ac:dyDescent="0.35">
      <c r="A70" s="127" t="s">
        <v>3934</v>
      </c>
      <c r="B70" s="127" t="s">
        <v>3935</v>
      </c>
      <c r="C70" s="127" t="s">
        <v>3936</v>
      </c>
      <c r="D70" s="127" t="s">
        <v>3937</v>
      </c>
      <c r="E70" s="127" t="s">
        <v>3938</v>
      </c>
    </row>
    <row r="71" spans="1:5" ht="29" x14ac:dyDescent="0.35">
      <c r="A71" s="127" t="s">
        <v>3939</v>
      </c>
      <c r="B71" s="127" t="s">
        <v>3935</v>
      </c>
      <c r="C71" s="127" t="s">
        <v>3936</v>
      </c>
      <c r="D71" s="127" t="s">
        <v>3937</v>
      </c>
      <c r="E71" s="127" t="s">
        <v>3940</v>
      </c>
    </row>
    <row r="72" spans="1:5" ht="29" x14ac:dyDescent="0.35">
      <c r="A72" s="127" t="s">
        <v>3941</v>
      </c>
      <c r="B72" s="127" t="s">
        <v>3935</v>
      </c>
      <c r="C72" s="127" t="s">
        <v>3942</v>
      </c>
      <c r="D72" s="127" t="s">
        <v>3937</v>
      </c>
      <c r="E72" s="127" t="s">
        <v>3943</v>
      </c>
    </row>
    <row r="73" spans="1:5" ht="29" x14ac:dyDescent="0.35">
      <c r="A73" s="127" t="s">
        <v>3944</v>
      </c>
      <c r="B73" s="127" t="s">
        <v>3935</v>
      </c>
      <c r="C73" s="127" t="s">
        <v>3936</v>
      </c>
      <c r="D73" s="127" t="s">
        <v>3937</v>
      </c>
      <c r="E73" s="127" t="s">
        <v>3945</v>
      </c>
    </row>
    <row r="74" spans="1:5" ht="29" x14ac:dyDescent="0.35">
      <c r="A74" s="127" t="s">
        <v>3946</v>
      </c>
      <c r="B74" s="127" t="s">
        <v>3935</v>
      </c>
      <c r="C74" s="127" t="s">
        <v>3942</v>
      </c>
      <c r="D74" s="127" t="s">
        <v>3937</v>
      </c>
      <c r="E74" s="127" t="s">
        <v>3945</v>
      </c>
    </row>
    <row r="75" spans="1:5" ht="29" x14ac:dyDescent="0.35">
      <c r="A75" s="127" t="s">
        <v>3947</v>
      </c>
      <c r="B75" s="127" t="s">
        <v>741</v>
      </c>
      <c r="C75" s="127" t="s">
        <v>3948</v>
      </c>
      <c r="D75" s="127" t="s">
        <v>741</v>
      </c>
      <c r="E75" s="127" t="s">
        <v>3949</v>
      </c>
    </row>
    <row r="76" spans="1:5" x14ac:dyDescent="0.35">
      <c r="A76" s="127" t="s">
        <v>3950</v>
      </c>
      <c r="B76" s="127" t="s">
        <v>741</v>
      </c>
      <c r="C76" s="127" t="s">
        <v>3951</v>
      </c>
      <c r="D76" s="127" t="s">
        <v>741</v>
      </c>
      <c r="E76" s="127" t="s">
        <v>3952</v>
      </c>
    </row>
    <row r="78" spans="1:5" ht="29" customHeight="1" x14ac:dyDescent="0.35">
      <c r="A78" s="314" t="s">
        <v>3953</v>
      </c>
      <c r="B78" s="241"/>
      <c r="C78" s="241"/>
      <c r="D78" s="241"/>
      <c r="E78" s="241"/>
    </row>
    <row r="79" spans="1:5" x14ac:dyDescent="0.35">
      <c r="A79" s="135" t="s">
        <v>3954</v>
      </c>
      <c r="B79" s="135" t="s">
        <v>1858</v>
      </c>
      <c r="C79" s="135" t="s">
        <v>3955</v>
      </c>
      <c r="D79" s="135" t="s">
        <v>3956</v>
      </c>
      <c r="E79" s="135" t="s">
        <v>3957</v>
      </c>
    </row>
    <row r="80" spans="1:5" x14ac:dyDescent="0.35">
      <c r="A80" s="127" t="s">
        <v>3958</v>
      </c>
      <c r="B80" s="127" t="s">
        <v>3959</v>
      </c>
      <c r="C80" s="127" t="s">
        <v>3960</v>
      </c>
      <c r="D80" s="127" t="s">
        <v>3961</v>
      </c>
      <c r="E80" s="127" t="s">
        <v>3962</v>
      </c>
    </row>
    <row r="81" spans="1:5" ht="29" x14ac:dyDescent="0.35">
      <c r="A81" s="127" t="s">
        <v>3963</v>
      </c>
      <c r="B81" s="127" t="s">
        <v>3964</v>
      </c>
      <c r="C81" s="127" t="s">
        <v>3965</v>
      </c>
      <c r="D81" s="127" t="s">
        <v>3966</v>
      </c>
      <c r="E81" s="127" t="s">
        <v>3967</v>
      </c>
    </row>
    <row r="82" spans="1:5" x14ac:dyDescent="0.35">
      <c r="A82" s="127" t="s">
        <v>3968</v>
      </c>
      <c r="B82" s="127" t="s">
        <v>3969</v>
      </c>
      <c r="C82" s="127" t="s">
        <v>3970</v>
      </c>
      <c r="D82" s="127" t="s">
        <v>3971</v>
      </c>
      <c r="E82" s="127" t="s">
        <v>3972</v>
      </c>
    </row>
    <row r="83" spans="1:5" ht="29" x14ac:dyDescent="0.35">
      <c r="A83" s="127" t="s">
        <v>3973</v>
      </c>
      <c r="B83" s="127" t="s">
        <v>3974</v>
      </c>
      <c r="C83" s="127" t="s">
        <v>3975</v>
      </c>
      <c r="D83" s="127" t="s">
        <v>3976</v>
      </c>
      <c r="E83" s="127" t="s">
        <v>3977</v>
      </c>
    </row>
    <row r="84" spans="1:5" x14ac:dyDescent="0.35">
      <c r="A84" s="127" t="s">
        <v>3978</v>
      </c>
      <c r="B84" s="127" t="s">
        <v>3979</v>
      </c>
      <c r="C84" s="127" t="s">
        <v>3980</v>
      </c>
      <c r="D84" s="127" t="s">
        <v>3981</v>
      </c>
      <c r="E84" s="127" t="s">
        <v>3982</v>
      </c>
    </row>
    <row r="85" spans="1:5" x14ac:dyDescent="0.35">
      <c r="A85" s="127" t="s">
        <v>3983</v>
      </c>
      <c r="B85" s="127" t="s">
        <v>3984</v>
      </c>
      <c r="C85" s="127" t="s">
        <v>3985</v>
      </c>
      <c r="D85" s="127" t="s">
        <v>3976</v>
      </c>
      <c r="E85" s="127" t="s">
        <v>3986</v>
      </c>
    </row>
    <row r="86" spans="1:5" ht="29" x14ac:dyDescent="0.35">
      <c r="A86" s="127" t="s">
        <v>3987</v>
      </c>
      <c r="B86" s="127" t="s">
        <v>3988</v>
      </c>
      <c r="C86" s="127" t="s">
        <v>3980</v>
      </c>
      <c r="D86" s="127" t="s">
        <v>3989</v>
      </c>
      <c r="E86" s="127" t="s">
        <v>3990</v>
      </c>
    </row>
    <row r="87" spans="1:5" ht="29" x14ac:dyDescent="0.35">
      <c r="A87" s="127" t="s">
        <v>3991</v>
      </c>
      <c r="B87" s="127" t="s">
        <v>3992</v>
      </c>
      <c r="C87" s="127" t="s">
        <v>3993</v>
      </c>
      <c r="D87" s="127" t="s">
        <v>3994</v>
      </c>
      <c r="E87" s="127" t="s">
        <v>3995</v>
      </c>
    </row>
    <row r="88" spans="1:5" ht="29" x14ac:dyDescent="0.35">
      <c r="A88" s="127" t="s">
        <v>3996</v>
      </c>
      <c r="B88" s="127" t="s">
        <v>3997</v>
      </c>
      <c r="C88" s="127" t="s">
        <v>3980</v>
      </c>
      <c r="D88" s="127" t="s">
        <v>3998</v>
      </c>
      <c r="E88" s="127" t="s">
        <v>3999</v>
      </c>
    </row>
    <row r="90" spans="1:5" ht="29" customHeight="1" x14ac:dyDescent="0.35">
      <c r="A90" s="315" t="s">
        <v>4000</v>
      </c>
      <c r="B90" s="241"/>
      <c r="C90" s="241"/>
      <c r="D90" s="241"/>
      <c r="E90" s="241"/>
    </row>
    <row r="91" spans="1:5" x14ac:dyDescent="0.35">
      <c r="A91" s="316" t="s">
        <v>4001</v>
      </c>
      <c r="B91" s="316" t="s">
        <v>4002</v>
      </c>
      <c r="C91" s="316" t="s">
        <v>4003</v>
      </c>
      <c r="D91" s="316" t="s">
        <v>4004</v>
      </c>
    </row>
    <row r="92" spans="1:5" ht="43.5" x14ac:dyDescent="0.35">
      <c r="A92" s="127" t="s">
        <v>4005</v>
      </c>
      <c r="B92" s="127" t="s">
        <v>4006</v>
      </c>
      <c r="C92" s="127" t="s">
        <v>4007</v>
      </c>
      <c r="D92" s="127" t="s">
        <v>4008</v>
      </c>
    </row>
    <row r="93" spans="1:5" ht="43.5" x14ac:dyDescent="0.35">
      <c r="A93" s="127" t="s">
        <v>4009</v>
      </c>
      <c r="B93" s="127" t="s">
        <v>4010</v>
      </c>
      <c r="C93" s="127" t="s">
        <v>4011</v>
      </c>
      <c r="D93" s="127" t="s">
        <v>4012</v>
      </c>
    </row>
    <row r="94" spans="1:5" ht="29" x14ac:dyDescent="0.35">
      <c r="A94" s="127" t="s">
        <v>4013</v>
      </c>
      <c r="B94" s="127" t="s">
        <v>4014</v>
      </c>
      <c r="C94" s="127" t="s">
        <v>4015</v>
      </c>
      <c r="D94" s="127" t="s">
        <v>4016</v>
      </c>
    </row>
    <row r="95" spans="1:5" ht="43.5" x14ac:dyDescent="0.35">
      <c r="A95" s="127" t="s">
        <v>4017</v>
      </c>
      <c r="B95" s="127" t="s">
        <v>4018</v>
      </c>
      <c r="C95" s="127" t="s">
        <v>4019</v>
      </c>
      <c r="D95" s="127" t="s">
        <v>4020</v>
      </c>
    </row>
    <row r="96" spans="1:5" x14ac:dyDescent="0.35">
      <c r="A96" s="127" t="s">
        <v>4021</v>
      </c>
      <c r="B96" s="127" t="s">
        <v>4022</v>
      </c>
      <c r="C96" s="127" t="s">
        <v>4023</v>
      </c>
      <c r="D96" s="127" t="s">
        <v>4024</v>
      </c>
    </row>
    <row r="98" spans="1:4" x14ac:dyDescent="0.35">
      <c r="A98" t="s">
        <v>4025</v>
      </c>
    </row>
    <row r="99" spans="1:4" x14ac:dyDescent="0.35">
      <c r="A99" t="s">
        <v>4026</v>
      </c>
    </row>
    <row r="100" spans="1:4" x14ac:dyDescent="0.35">
      <c r="A100" t="s">
        <v>4027</v>
      </c>
      <c r="B100" t="s">
        <v>1858</v>
      </c>
      <c r="C100" t="s">
        <v>4028</v>
      </c>
      <c r="D100" t="s">
        <v>2580</v>
      </c>
    </row>
    <row r="101" spans="1:4" x14ac:dyDescent="0.35">
      <c r="A101" t="s">
        <v>4029</v>
      </c>
      <c r="B101" t="s">
        <v>4030</v>
      </c>
      <c r="C101" t="s">
        <v>4031</v>
      </c>
      <c r="D101" t="s">
        <v>4032</v>
      </c>
    </row>
    <row r="102" spans="1:4" x14ac:dyDescent="0.35">
      <c r="A102" t="s">
        <v>4033</v>
      </c>
      <c r="B102" t="s">
        <v>4034</v>
      </c>
      <c r="C102" t="s">
        <v>4035</v>
      </c>
      <c r="D102" t="s">
        <v>4032</v>
      </c>
    </row>
    <row r="103" spans="1:4" x14ac:dyDescent="0.35">
      <c r="A103" t="s">
        <v>4036</v>
      </c>
      <c r="B103" t="s">
        <v>4037</v>
      </c>
      <c r="C103" t="s">
        <v>4038</v>
      </c>
      <c r="D103" t="s">
        <v>4032</v>
      </c>
    </row>
    <row r="104" spans="1:4" x14ac:dyDescent="0.35">
      <c r="A104" t="s">
        <v>4039</v>
      </c>
      <c r="B104" t="s">
        <v>4040</v>
      </c>
      <c r="C104" t="s">
        <v>4041</v>
      </c>
      <c r="D104" t="s">
        <v>4032</v>
      </c>
    </row>
    <row r="105" spans="1:4" x14ac:dyDescent="0.35">
      <c r="A105" t="s">
        <v>4042</v>
      </c>
      <c r="B105" t="s">
        <v>4043</v>
      </c>
      <c r="C105" t="s">
        <v>4044</v>
      </c>
      <c r="D105" t="s">
        <v>4032</v>
      </c>
    </row>
    <row r="106" spans="1:4" x14ac:dyDescent="0.35">
      <c r="A106" t="s">
        <v>4045</v>
      </c>
      <c r="B106" t="s">
        <v>4046</v>
      </c>
      <c r="C106" t="s">
        <v>4047</v>
      </c>
      <c r="D106" t="s">
        <v>4032</v>
      </c>
    </row>
    <row r="107" spans="1:4" x14ac:dyDescent="0.35">
      <c r="A107" t="s">
        <v>4048</v>
      </c>
      <c r="B107" t="s">
        <v>4049</v>
      </c>
      <c r="C107" t="s">
        <v>4050</v>
      </c>
      <c r="D107" t="s">
        <v>4032</v>
      </c>
    </row>
    <row r="108" spans="1:4" x14ac:dyDescent="0.35">
      <c r="A108" t="s">
        <v>4051</v>
      </c>
      <c r="B108" t="s">
        <v>4052</v>
      </c>
      <c r="C108" t="s">
        <v>4053</v>
      </c>
      <c r="D108" t="s">
        <v>4032</v>
      </c>
    </row>
    <row r="109" spans="1:4" x14ac:dyDescent="0.35">
      <c r="A109" t="s">
        <v>4054</v>
      </c>
      <c r="B109" t="s">
        <v>4055</v>
      </c>
      <c r="C109" t="s">
        <v>4056</v>
      </c>
      <c r="D109" t="s">
        <v>4032</v>
      </c>
    </row>
    <row r="110" spans="1:4" x14ac:dyDescent="0.35">
      <c r="A110" t="s">
        <v>4057</v>
      </c>
      <c r="B110" t="s">
        <v>4058</v>
      </c>
      <c r="C110" t="s">
        <v>4059</v>
      </c>
      <c r="D110" t="s">
        <v>4060</v>
      </c>
    </row>
    <row r="112" spans="1:4" x14ac:dyDescent="0.35">
      <c r="A112" t="s">
        <v>4061</v>
      </c>
    </row>
    <row r="113" spans="1:4" x14ac:dyDescent="0.35">
      <c r="A113" t="s">
        <v>4062</v>
      </c>
      <c r="B113" t="s">
        <v>4063</v>
      </c>
      <c r="C113" t="s">
        <v>4064</v>
      </c>
      <c r="D113" t="s">
        <v>4065</v>
      </c>
    </row>
    <row r="114" spans="1:4" x14ac:dyDescent="0.35">
      <c r="A114" t="s">
        <v>4066</v>
      </c>
      <c r="B114" t="s">
        <v>4067</v>
      </c>
      <c r="C114" t="s">
        <v>4064</v>
      </c>
      <c r="D114" t="s">
        <v>4065</v>
      </c>
    </row>
    <row r="115" spans="1:4" x14ac:dyDescent="0.35">
      <c r="A115" t="s">
        <v>4068</v>
      </c>
      <c r="B115" t="s">
        <v>4069</v>
      </c>
    </row>
    <row r="117" spans="1:4" x14ac:dyDescent="0.35">
      <c r="A117" t="s">
        <v>4070</v>
      </c>
    </row>
    <row r="118" spans="1:4" x14ac:dyDescent="0.35">
      <c r="A118" t="s">
        <v>4071</v>
      </c>
      <c r="B118" t="s">
        <v>4072</v>
      </c>
    </row>
  </sheetData>
  <mergeCells count="7">
    <mergeCell ref="A90:E90"/>
    <mergeCell ref="A50:E50"/>
    <mergeCell ref="A51:E51"/>
    <mergeCell ref="A53:E53"/>
    <mergeCell ref="A62:E62"/>
    <mergeCell ref="A68:E68"/>
    <mergeCell ref="A78:E7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17439-0550-4F89-B156-6D0DEF0AC96C}">
  <dimension ref="A1:H33"/>
  <sheetViews>
    <sheetView workbookViewId="0">
      <selection activeCell="B6" sqref="B6"/>
    </sheetView>
  </sheetViews>
  <sheetFormatPr defaultRowHeight="14.5" x14ac:dyDescent="0.35"/>
  <cols>
    <col min="1" max="1" width="5.453125" customWidth="1"/>
    <col min="2" max="2" width="26.36328125" customWidth="1"/>
    <col min="3" max="3" width="15.453125" customWidth="1"/>
    <col min="4" max="4" width="40" customWidth="1"/>
    <col min="5" max="5" width="43.6328125" customWidth="1"/>
    <col min="6" max="6" width="23.6328125" customWidth="1"/>
    <col min="7" max="7" width="50.90625" customWidth="1"/>
    <col min="8" max="8" width="90.90625" customWidth="1"/>
  </cols>
  <sheetData>
    <row r="1" spans="1:8" ht="32" customHeight="1" x14ac:dyDescent="0.35">
      <c r="A1" s="228" t="s">
        <v>3573</v>
      </c>
      <c r="B1" s="228"/>
      <c r="C1" s="228"/>
      <c r="D1" s="228"/>
      <c r="E1" s="228"/>
      <c r="F1" s="228"/>
      <c r="G1" s="228"/>
      <c r="H1" s="228"/>
    </row>
    <row r="3" spans="1:8" ht="56" customHeight="1" x14ac:dyDescent="0.35">
      <c r="A3" s="229" t="s">
        <v>3574</v>
      </c>
      <c r="B3" s="229"/>
      <c r="C3" s="229"/>
      <c r="D3" s="229"/>
      <c r="E3" s="229"/>
      <c r="F3" s="229"/>
      <c r="G3" s="229"/>
      <c r="H3" s="229"/>
    </row>
    <row r="5" spans="1:8" ht="26" customHeight="1" x14ac:dyDescent="0.35">
      <c r="A5" s="230" t="s">
        <v>3575</v>
      </c>
      <c r="B5" s="230"/>
      <c r="C5" s="230"/>
      <c r="D5" s="230"/>
      <c r="E5" s="230"/>
      <c r="F5" s="230"/>
      <c r="G5" s="230"/>
      <c r="H5" s="230"/>
    </row>
    <row r="6" spans="1:8" ht="36" customHeight="1" x14ac:dyDescent="0.35">
      <c r="A6" s="174" t="s">
        <v>2339</v>
      </c>
      <c r="B6" s="174" t="s">
        <v>3576</v>
      </c>
      <c r="C6" s="174" t="s">
        <v>3577</v>
      </c>
      <c r="D6" s="174" t="s">
        <v>3578</v>
      </c>
      <c r="E6" s="174" t="s">
        <v>3579</v>
      </c>
      <c r="F6" s="174" t="s">
        <v>3580</v>
      </c>
      <c r="G6" s="174" t="s">
        <v>3581</v>
      </c>
      <c r="H6" s="174" t="s">
        <v>3582</v>
      </c>
    </row>
    <row r="7" spans="1:8" ht="95" customHeight="1" x14ac:dyDescent="0.35">
      <c r="A7" s="175">
        <v>1</v>
      </c>
      <c r="B7" s="175" t="s">
        <v>3583</v>
      </c>
      <c r="C7" s="175" t="s">
        <v>3584</v>
      </c>
      <c r="D7" s="175" t="s">
        <v>3585</v>
      </c>
      <c r="E7" s="175" t="s">
        <v>3586</v>
      </c>
      <c r="F7" s="175" t="s">
        <v>3587</v>
      </c>
      <c r="G7" s="175" t="s">
        <v>3588</v>
      </c>
      <c r="H7" s="175" t="s">
        <v>3589</v>
      </c>
    </row>
    <row r="8" spans="1:8" ht="95" customHeight="1" x14ac:dyDescent="0.35">
      <c r="A8" s="175">
        <v>2</v>
      </c>
      <c r="B8" s="175" t="s">
        <v>3590</v>
      </c>
      <c r="C8" s="175" t="s">
        <v>3591</v>
      </c>
      <c r="D8" s="175" t="s">
        <v>3592</v>
      </c>
      <c r="E8" s="175" t="s">
        <v>3593</v>
      </c>
      <c r="F8" s="175" t="s">
        <v>3594</v>
      </c>
      <c r="G8" s="175" t="s">
        <v>3595</v>
      </c>
      <c r="H8" s="175" t="s">
        <v>3596</v>
      </c>
    </row>
    <row r="9" spans="1:8" ht="95" customHeight="1" x14ac:dyDescent="0.35">
      <c r="A9" s="176">
        <v>3</v>
      </c>
      <c r="B9" s="176" t="s">
        <v>3597</v>
      </c>
      <c r="C9" s="176" t="s">
        <v>3598</v>
      </c>
      <c r="D9" s="176" t="s">
        <v>3599</v>
      </c>
      <c r="E9" s="176" t="s">
        <v>3600</v>
      </c>
      <c r="F9" s="176" t="s">
        <v>3601</v>
      </c>
      <c r="G9" s="176" t="s">
        <v>3602</v>
      </c>
      <c r="H9" s="176" t="s">
        <v>3603</v>
      </c>
    </row>
    <row r="10" spans="1:8" ht="95" customHeight="1" x14ac:dyDescent="0.35">
      <c r="A10" s="176">
        <v>4</v>
      </c>
      <c r="B10" s="176" t="s">
        <v>3604</v>
      </c>
      <c r="C10" s="176" t="s">
        <v>3598</v>
      </c>
      <c r="D10" s="176" t="s">
        <v>3605</v>
      </c>
      <c r="E10" s="176" t="s">
        <v>3606</v>
      </c>
      <c r="F10" s="176" t="s">
        <v>3607</v>
      </c>
      <c r="G10" s="176" t="s">
        <v>3608</v>
      </c>
      <c r="H10" s="176" t="s">
        <v>3609</v>
      </c>
    </row>
    <row r="11" spans="1:8" ht="95" customHeight="1" x14ac:dyDescent="0.35">
      <c r="A11" s="176">
        <v>5</v>
      </c>
      <c r="B11" s="176" t="s">
        <v>3610</v>
      </c>
      <c r="C11" s="176" t="s">
        <v>3598</v>
      </c>
      <c r="D11" s="176" t="s">
        <v>3611</v>
      </c>
      <c r="E11" s="176" t="s">
        <v>3612</v>
      </c>
      <c r="F11" s="176" t="s">
        <v>3613</v>
      </c>
      <c r="G11" s="176" t="s">
        <v>3614</v>
      </c>
      <c r="H11" s="176" t="s">
        <v>3615</v>
      </c>
    </row>
    <row r="12" spans="1:8" ht="95" customHeight="1" x14ac:dyDescent="0.35">
      <c r="A12" s="176">
        <v>6</v>
      </c>
      <c r="B12" s="176" t="s">
        <v>3616</v>
      </c>
      <c r="C12" s="176" t="s">
        <v>3598</v>
      </c>
      <c r="D12" s="176" t="s">
        <v>3617</v>
      </c>
      <c r="E12" s="176" t="s">
        <v>3618</v>
      </c>
      <c r="F12" s="176" t="s">
        <v>3619</v>
      </c>
      <c r="G12" s="176" t="s">
        <v>3620</v>
      </c>
      <c r="H12" s="176" t="s">
        <v>3621</v>
      </c>
    </row>
    <row r="13" spans="1:8" ht="95" customHeight="1" x14ac:dyDescent="0.35">
      <c r="A13" s="176">
        <v>7</v>
      </c>
      <c r="B13" s="176" t="s">
        <v>3622</v>
      </c>
      <c r="C13" s="176" t="s">
        <v>3598</v>
      </c>
      <c r="D13" s="176" t="s">
        <v>3623</v>
      </c>
      <c r="E13" s="176" t="s">
        <v>3624</v>
      </c>
      <c r="F13" s="176" t="s">
        <v>3625</v>
      </c>
      <c r="G13" s="176" t="s">
        <v>3626</v>
      </c>
      <c r="H13" s="176" t="s">
        <v>3627</v>
      </c>
    </row>
    <row r="14" spans="1:8" ht="95" customHeight="1" x14ac:dyDescent="0.35">
      <c r="A14" s="176">
        <v>8</v>
      </c>
      <c r="B14" s="176" t="s">
        <v>3628</v>
      </c>
      <c r="C14" s="176" t="s">
        <v>3598</v>
      </c>
      <c r="D14" s="176" t="s">
        <v>3629</v>
      </c>
      <c r="E14" s="176" t="s">
        <v>3630</v>
      </c>
      <c r="F14" s="176" t="s">
        <v>3631</v>
      </c>
      <c r="G14" s="176" t="s">
        <v>3632</v>
      </c>
      <c r="H14" s="176" t="s">
        <v>3633</v>
      </c>
    </row>
    <row r="15" spans="1:8" ht="95" customHeight="1" x14ac:dyDescent="0.35">
      <c r="A15" s="176">
        <v>9</v>
      </c>
      <c r="B15" s="176" t="s">
        <v>3634</v>
      </c>
      <c r="C15" s="176" t="s">
        <v>3598</v>
      </c>
      <c r="D15" s="176" t="s">
        <v>3635</v>
      </c>
      <c r="E15" s="176" t="s">
        <v>3636</v>
      </c>
      <c r="F15" s="176" t="s">
        <v>3637</v>
      </c>
      <c r="G15" s="176" t="s">
        <v>3638</v>
      </c>
      <c r="H15" s="176" t="s">
        <v>3639</v>
      </c>
    </row>
    <row r="16" spans="1:8" ht="95" customHeight="1" x14ac:dyDescent="0.35">
      <c r="A16" s="177">
        <v>10</v>
      </c>
      <c r="B16" s="177" t="s">
        <v>3640</v>
      </c>
      <c r="C16" s="177" t="s">
        <v>3641</v>
      </c>
      <c r="D16" s="177" t="s">
        <v>3642</v>
      </c>
      <c r="E16" s="177" t="s">
        <v>3643</v>
      </c>
      <c r="F16" s="177" t="s">
        <v>3644</v>
      </c>
      <c r="G16" s="177" t="s">
        <v>3645</v>
      </c>
      <c r="H16" s="304" t="s">
        <v>3760</v>
      </c>
    </row>
    <row r="17" spans="1:8" ht="48" x14ac:dyDescent="0.35">
      <c r="H17" s="305" t="s">
        <v>3761</v>
      </c>
    </row>
    <row r="18" spans="1:8" ht="26" customHeight="1" x14ac:dyDescent="0.35">
      <c r="A18" s="230" t="s">
        <v>3646</v>
      </c>
      <c r="B18" s="230"/>
      <c r="C18" s="230"/>
      <c r="D18" s="230"/>
      <c r="E18" s="230"/>
      <c r="F18" s="230"/>
      <c r="G18" s="230"/>
      <c r="H18" s="306"/>
    </row>
    <row r="19" spans="1:8" ht="48" customHeight="1" x14ac:dyDescent="0.35">
      <c r="A19" s="231" t="s">
        <v>3647</v>
      </c>
      <c r="B19" s="231"/>
      <c r="C19" s="231"/>
      <c r="D19" s="231"/>
      <c r="E19" s="231"/>
      <c r="F19" s="231"/>
      <c r="G19" s="231"/>
      <c r="H19" s="307"/>
    </row>
    <row r="20" spans="1:8" ht="36" customHeight="1" x14ac:dyDescent="0.35">
      <c r="A20" s="174" t="s">
        <v>2339</v>
      </c>
      <c r="B20" s="174" t="s">
        <v>3576</v>
      </c>
      <c r="C20" s="174" t="s">
        <v>3577</v>
      </c>
      <c r="D20" s="174" t="s">
        <v>3648</v>
      </c>
      <c r="E20" s="174" t="s">
        <v>3649</v>
      </c>
      <c r="F20" s="174" t="s">
        <v>3650</v>
      </c>
      <c r="G20" s="174" t="s">
        <v>3651</v>
      </c>
      <c r="H20" s="308" t="s">
        <v>3762</v>
      </c>
    </row>
    <row r="21" spans="1:8" ht="380" customHeight="1" x14ac:dyDescent="0.35">
      <c r="A21" s="175">
        <v>1</v>
      </c>
      <c r="B21" s="175" t="s">
        <v>3583</v>
      </c>
      <c r="C21" s="175" t="s">
        <v>3584</v>
      </c>
      <c r="D21" s="175" t="s">
        <v>3652</v>
      </c>
      <c r="E21" s="175" t="s">
        <v>3653</v>
      </c>
      <c r="F21" s="175" t="s">
        <v>3654</v>
      </c>
      <c r="G21" s="175" t="s">
        <v>3655</v>
      </c>
      <c r="H21" s="175" t="s">
        <v>3763</v>
      </c>
    </row>
    <row r="22" spans="1:8" ht="380" customHeight="1" x14ac:dyDescent="0.35">
      <c r="A22" s="175">
        <v>2</v>
      </c>
      <c r="B22" s="175" t="s">
        <v>3590</v>
      </c>
      <c r="C22" s="175" t="s">
        <v>3591</v>
      </c>
      <c r="D22" s="175" t="s">
        <v>3656</v>
      </c>
      <c r="E22" s="175" t="s">
        <v>3657</v>
      </c>
      <c r="F22" s="175" t="s">
        <v>3658</v>
      </c>
      <c r="G22" s="178" t="s">
        <v>3659</v>
      </c>
      <c r="H22" s="175" t="s">
        <v>3764</v>
      </c>
    </row>
    <row r="23" spans="1:8" ht="380" customHeight="1" x14ac:dyDescent="0.35">
      <c r="A23" s="176">
        <v>3</v>
      </c>
      <c r="B23" s="176" t="s">
        <v>3597</v>
      </c>
      <c r="C23" s="176" t="s">
        <v>3598</v>
      </c>
      <c r="D23" s="176" t="s">
        <v>3660</v>
      </c>
      <c r="E23" s="176" t="s">
        <v>3661</v>
      </c>
      <c r="F23" s="176" t="s">
        <v>3662</v>
      </c>
      <c r="G23" s="179" t="s">
        <v>3663</v>
      </c>
      <c r="H23" s="176" t="s">
        <v>3765</v>
      </c>
    </row>
    <row r="24" spans="1:8" ht="380" customHeight="1" x14ac:dyDescent="0.35">
      <c r="A24" s="176">
        <v>4</v>
      </c>
      <c r="B24" s="176" t="s">
        <v>3604</v>
      </c>
      <c r="C24" s="176" t="s">
        <v>3598</v>
      </c>
      <c r="D24" s="176" t="s">
        <v>3664</v>
      </c>
      <c r="E24" s="176" t="s">
        <v>3665</v>
      </c>
      <c r="F24" s="176" t="s">
        <v>3666</v>
      </c>
      <c r="G24" s="179" t="s">
        <v>3667</v>
      </c>
      <c r="H24" s="176" t="s">
        <v>3766</v>
      </c>
    </row>
    <row r="25" spans="1:8" ht="380" customHeight="1" x14ac:dyDescent="0.35">
      <c r="A25" s="176">
        <v>5</v>
      </c>
      <c r="B25" s="176" t="s">
        <v>3610</v>
      </c>
      <c r="C25" s="176" t="s">
        <v>3598</v>
      </c>
      <c r="D25" s="176" t="s">
        <v>3668</v>
      </c>
      <c r="E25" s="176" t="s">
        <v>3669</v>
      </c>
      <c r="F25" s="176" t="s">
        <v>3670</v>
      </c>
      <c r="G25" s="179" t="s">
        <v>3671</v>
      </c>
      <c r="H25" s="176" t="s">
        <v>3767</v>
      </c>
    </row>
    <row r="26" spans="1:8" ht="380" customHeight="1" x14ac:dyDescent="0.35">
      <c r="A26" s="176">
        <v>6</v>
      </c>
      <c r="B26" s="176" t="s">
        <v>3616</v>
      </c>
      <c r="C26" s="176" t="s">
        <v>3598</v>
      </c>
      <c r="D26" s="176" t="s">
        <v>3672</v>
      </c>
      <c r="E26" s="176" t="s">
        <v>3673</v>
      </c>
      <c r="F26" s="176" t="s">
        <v>3674</v>
      </c>
      <c r="G26" s="179" t="s">
        <v>3675</v>
      </c>
      <c r="H26" s="176" t="s">
        <v>3768</v>
      </c>
    </row>
    <row r="27" spans="1:8" ht="380" customHeight="1" x14ac:dyDescent="0.35">
      <c r="A27" s="176">
        <v>7</v>
      </c>
      <c r="B27" s="176" t="s">
        <v>3622</v>
      </c>
      <c r="C27" s="176" t="s">
        <v>3598</v>
      </c>
      <c r="D27" s="176" t="s">
        <v>3676</v>
      </c>
      <c r="E27" s="176" t="s">
        <v>3677</v>
      </c>
      <c r="F27" s="176" t="s">
        <v>3678</v>
      </c>
      <c r="G27" s="179" t="s">
        <v>3679</v>
      </c>
      <c r="H27" s="176" t="s">
        <v>3769</v>
      </c>
    </row>
    <row r="28" spans="1:8" ht="380" customHeight="1" x14ac:dyDescent="0.35">
      <c r="A28" s="176">
        <v>8</v>
      </c>
      <c r="B28" s="176" t="s">
        <v>3628</v>
      </c>
      <c r="C28" s="176" t="s">
        <v>3598</v>
      </c>
      <c r="D28" s="176" t="s">
        <v>3680</v>
      </c>
      <c r="E28" s="176" t="s">
        <v>3681</v>
      </c>
      <c r="F28" s="176" t="s">
        <v>3682</v>
      </c>
      <c r="G28" s="179" t="s">
        <v>3683</v>
      </c>
      <c r="H28" s="176"/>
    </row>
    <row r="29" spans="1:8" ht="380" customHeight="1" x14ac:dyDescent="0.35">
      <c r="A29" s="176">
        <v>9</v>
      </c>
      <c r="B29" s="176" t="s">
        <v>3634</v>
      </c>
      <c r="C29" s="176" t="s">
        <v>3598</v>
      </c>
      <c r="D29" s="176" t="s">
        <v>3684</v>
      </c>
      <c r="E29" s="176" t="s">
        <v>3685</v>
      </c>
      <c r="F29" s="176" t="s">
        <v>3686</v>
      </c>
      <c r="G29" s="179" t="s">
        <v>3687</v>
      </c>
      <c r="H29" s="176"/>
    </row>
    <row r="30" spans="1:8" ht="380" customHeight="1" x14ac:dyDescent="0.35">
      <c r="A30" s="177">
        <v>10</v>
      </c>
      <c r="B30" s="177" t="s">
        <v>3640</v>
      </c>
      <c r="C30" s="177" t="s">
        <v>3641</v>
      </c>
      <c r="D30" s="177" t="s">
        <v>3770</v>
      </c>
      <c r="E30" s="177" t="s">
        <v>3688</v>
      </c>
      <c r="F30" s="177" t="s">
        <v>3689</v>
      </c>
      <c r="G30" s="180" t="s">
        <v>3690</v>
      </c>
      <c r="H30" s="177"/>
    </row>
    <row r="32" spans="1:8" ht="26" customHeight="1" x14ac:dyDescent="0.35">
      <c r="A32" s="230" t="s">
        <v>3691</v>
      </c>
      <c r="B32" s="230"/>
      <c r="C32" s="230"/>
      <c r="D32" s="230"/>
      <c r="E32" s="230"/>
      <c r="F32" s="230"/>
      <c r="G32" s="230"/>
      <c r="H32" s="230"/>
    </row>
    <row r="33" spans="1:8" ht="400" customHeight="1" x14ac:dyDescent="0.35">
      <c r="A33" s="225" t="s">
        <v>3692</v>
      </c>
      <c r="B33" s="226"/>
      <c r="C33" s="226"/>
      <c r="D33" s="226"/>
      <c r="E33" s="226"/>
      <c r="F33" s="226"/>
      <c r="G33" s="226"/>
      <c r="H33" s="227"/>
    </row>
  </sheetData>
  <mergeCells count="7">
    <mergeCell ref="A33:H33"/>
    <mergeCell ref="A1:H1"/>
    <mergeCell ref="A3:H3"/>
    <mergeCell ref="A5:H5"/>
    <mergeCell ref="A18:H18"/>
    <mergeCell ref="A19:H19"/>
    <mergeCell ref="A32:H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4253A-D9CF-4B28-9230-037B9479C37A}">
  <dimension ref="A1:I71"/>
  <sheetViews>
    <sheetView topLeftCell="A70" workbookViewId="0">
      <selection activeCell="A70" sqref="A1:XFD1048576"/>
    </sheetView>
  </sheetViews>
  <sheetFormatPr defaultRowHeight="14.5" x14ac:dyDescent="0.35"/>
  <cols>
    <col min="1" max="1" width="7.26953125" customWidth="1"/>
    <col min="2" max="2" width="30.90625" customWidth="1"/>
    <col min="3" max="4" width="20" customWidth="1"/>
    <col min="5" max="5" width="10.90625" customWidth="1"/>
    <col min="6" max="6" width="18.1796875" customWidth="1"/>
    <col min="7" max="7" width="112.7265625" customWidth="1"/>
    <col min="8" max="8" width="36.36328125" customWidth="1"/>
    <col min="9" max="9" width="87.26953125" customWidth="1"/>
  </cols>
  <sheetData>
    <row r="1" spans="1:9" ht="80" customHeight="1" x14ac:dyDescent="0.35">
      <c r="A1" s="232" t="s">
        <v>3485</v>
      </c>
      <c r="B1" s="182"/>
      <c r="C1" s="182"/>
      <c r="D1" s="182"/>
      <c r="E1" s="182"/>
      <c r="F1" s="182"/>
      <c r="G1" s="182"/>
      <c r="H1" s="182"/>
    </row>
    <row r="3" spans="1:9" ht="50" customHeight="1" x14ac:dyDescent="0.35">
      <c r="A3" s="233" t="s">
        <v>3486</v>
      </c>
      <c r="B3" s="182"/>
      <c r="C3" s="182"/>
      <c r="D3" s="182"/>
      <c r="E3" s="182"/>
      <c r="F3" s="182"/>
      <c r="G3" s="182"/>
      <c r="H3" s="182"/>
    </row>
    <row r="5" spans="1:9" x14ac:dyDescent="0.35">
      <c r="A5" s="162" t="s">
        <v>2339</v>
      </c>
      <c r="B5" s="162" t="s">
        <v>3487</v>
      </c>
      <c r="C5" s="162" t="s">
        <v>189</v>
      </c>
      <c r="D5" s="162" t="s">
        <v>251</v>
      </c>
      <c r="E5" s="162" t="s">
        <v>3488</v>
      </c>
      <c r="F5" s="162" t="s">
        <v>3489</v>
      </c>
      <c r="G5" s="162" t="s">
        <v>3490</v>
      </c>
      <c r="H5" s="162" t="s">
        <v>3</v>
      </c>
      <c r="I5" s="302" t="s">
        <v>3693</v>
      </c>
    </row>
    <row r="6" spans="1:9" ht="220" customHeight="1" x14ac:dyDescent="0.35">
      <c r="A6" s="163">
        <v>1</v>
      </c>
      <c r="B6" s="163" t="s">
        <v>3491</v>
      </c>
      <c r="C6" s="163" t="s">
        <v>204</v>
      </c>
      <c r="D6" s="163" t="s">
        <v>311</v>
      </c>
      <c r="E6" s="163" t="s">
        <v>3492</v>
      </c>
      <c r="F6" s="163" t="s">
        <v>3493</v>
      </c>
      <c r="G6" s="163" t="s">
        <v>3507</v>
      </c>
      <c r="H6" s="163"/>
      <c r="I6" s="303" t="s">
        <v>3694</v>
      </c>
    </row>
    <row r="7" spans="1:9" ht="220" customHeight="1" x14ac:dyDescent="0.35">
      <c r="A7" s="163">
        <v>2</v>
      </c>
      <c r="B7" s="163" t="s">
        <v>3491</v>
      </c>
      <c r="C7" s="163" t="s">
        <v>204</v>
      </c>
      <c r="D7" s="163" t="s">
        <v>311</v>
      </c>
      <c r="E7" s="163" t="s">
        <v>3492</v>
      </c>
      <c r="F7" s="163" t="s">
        <v>3494</v>
      </c>
      <c r="G7" s="163" t="s">
        <v>3508</v>
      </c>
      <c r="H7" s="163"/>
      <c r="I7" s="303" t="s">
        <v>3695</v>
      </c>
    </row>
    <row r="8" spans="1:9" ht="220" customHeight="1" x14ac:dyDescent="0.35">
      <c r="A8" s="163">
        <v>3</v>
      </c>
      <c r="B8" s="163" t="s">
        <v>3491</v>
      </c>
      <c r="C8" s="163" t="s">
        <v>204</v>
      </c>
      <c r="D8" s="163" t="s">
        <v>311</v>
      </c>
      <c r="E8" s="163" t="s">
        <v>3492</v>
      </c>
      <c r="F8" s="163" t="s">
        <v>3495</v>
      </c>
      <c r="G8" s="163" t="s">
        <v>3509</v>
      </c>
      <c r="H8" s="163"/>
      <c r="I8" s="303" t="s">
        <v>3696</v>
      </c>
    </row>
    <row r="9" spans="1:9" ht="220" customHeight="1" x14ac:dyDescent="0.35">
      <c r="A9" s="163">
        <v>4</v>
      </c>
      <c r="B9" s="163" t="s">
        <v>3491</v>
      </c>
      <c r="C9" s="163" t="s">
        <v>204</v>
      </c>
      <c r="D9" s="163" t="s">
        <v>311</v>
      </c>
      <c r="E9" s="163" t="s">
        <v>3496</v>
      </c>
      <c r="F9" s="163" t="s">
        <v>3493</v>
      </c>
      <c r="G9" s="163" t="s">
        <v>3510</v>
      </c>
      <c r="H9" s="163"/>
      <c r="I9" s="303" t="s">
        <v>3697</v>
      </c>
    </row>
    <row r="10" spans="1:9" ht="220" customHeight="1" x14ac:dyDescent="0.35">
      <c r="A10" s="163">
        <v>5</v>
      </c>
      <c r="B10" s="163" t="s">
        <v>3491</v>
      </c>
      <c r="C10" s="163" t="s">
        <v>204</v>
      </c>
      <c r="D10" s="163" t="s">
        <v>311</v>
      </c>
      <c r="E10" s="163" t="s">
        <v>3496</v>
      </c>
      <c r="F10" s="163" t="s">
        <v>3494</v>
      </c>
      <c r="G10" s="163" t="s">
        <v>3511</v>
      </c>
      <c r="H10" s="163"/>
      <c r="I10" s="303" t="s">
        <v>3698</v>
      </c>
    </row>
    <row r="11" spans="1:9" ht="220" customHeight="1" x14ac:dyDescent="0.35">
      <c r="A11" s="163">
        <v>6</v>
      </c>
      <c r="B11" s="163" t="s">
        <v>3491</v>
      </c>
      <c r="C11" s="163" t="s">
        <v>204</v>
      </c>
      <c r="D11" s="163" t="s">
        <v>311</v>
      </c>
      <c r="E11" s="163" t="s">
        <v>3496</v>
      </c>
      <c r="F11" s="163" t="s">
        <v>3495</v>
      </c>
      <c r="G11" s="163" t="s">
        <v>3512</v>
      </c>
      <c r="H11" s="163"/>
      <c r="I11" s="303" t="s">
        <v>3699</v>
      </c>
    </row>
    <row r="12" spans="1:9" ht="220" customHeight="1" x14ac:dyDescent="0.35">
      <c r="A12" s="164">
        <v>7</v>
      </c>
      <c r="B12" s="164" t="s">
        <v>3497</v>
      </c>
      <c r="C12" s="164" t="s">
        <v>204</v>
      </c>
      <c r="D12" s="164" t="s">
        <v>308</v>
      </c>
      <c r="E12" s="164" t="s">
        <v>3492</v>
      </c>
      <c r="F12" s="164" t="s">
        <v>3493</v>
      </c>
      <c r="G12" s="164" t="s">
        <v>3513</v>
      </c>
      <c r="H12" s="164"/>
      <c r="I12" s="303" t="s">
        <v>3700</v>
      </c>
    </row>
    <row r="13" spans="1:9" ht="220" customHeight="1" x14ac:dyDescent="0.35">
      <c r="A13" s="164">
        <v>8</v>
      </c>
      <c r="B13" s="164" t="s">
        <v>3497</v>
      </c>
      <c r="C13" s="164" t="s">
        <v>204</v>
      </c>
      <c r="D13" s="164" t="s">
        <v>308</v>
      </c>
      <c r="E13" s="164" t="s">
        <v>3492</v>
      </c>
      <c r="F13" s="164" t="s">
        <v>3494</v>
      </c>
      <c r="G13" s="164" t="s">
        <v>3514</v>
      </c>
      <c r="H13" s="164"/>
      <c r="I13" s="303" t="s">
        <v>3701</v>
      </c>
    </row>
    <row r="14" spans="1:9" ht="220" customHeight="1" x14ac:dyDescent="0.35">
      <c r="A14" s="164">
        <v>9</v>
      </c>
      <c r="B14" s="164" t="s">
        <v>3497</v>
      </c>
      <c r="C14" s="164" t="s">
        <v>204</v>
      </c>
      <c r="D14" s="164" t="s">
        <v>308</v>
      </c>
      <c r="E14" s="164" t="s">
        <v>3492</v>
      </c>
      <c r="F14" s="164" t="s">
        <v>3495</v>
      </c>
      <c r="G14" s="164" t="s">
        <v>3515</v>
      </c>
      <c r="H14" s="164"/>
      <c r="I14" s="303" t="s">
        <v>3702</v>
      </c>
    </row>
    <row r="15" spans="1:9" ht="220" customHeight="1" x14ac:dyDescent="0.35">
      <c r="A15" s="164">
        <v>10</v>
      </c>
      <c r="B15" s="164" t="s">
        <v>3497</v>
      </c>
      <c r="C15" s="164" t="s">
        <v>204</v>
      </c>
      <c r="D15" s="164" t="s">
        <v>308</v>
      </c>
      <c r="E15" s="164" t="s">
        <v>3496</v>
      </c>
      <c r="F15" s="164" t="s">
        <v>3493</v>
      </c>
      <c r="G15" s="164" t="s">
        <v>3516</v>
      </c>
      <c r="H15" s="164"/>
      <c r="I15" s="303" t="s">
        <v>3703</v>
      </c>
    </row>
    <row r="16" spans="1:9" ht="220" customHeight="1" x14ac:dyDescent="0.35">
      <c r="A16" s="164">
        <v>11</v>
      </c>
      <c r="B16" s="164" t="s">
        <v>3497</v>
      </c>
      <c r="C16" s="164" t="s">
        <v>204</v>
      </c>
      <c r="D16" s="164" t="s">
        <v>308</v>
      </c>
      <c r="E16" s="164" t="s">
        <v>3496</v>
      </c>
      <c r="F16" s="164" t="s">
        <v>3494</v>
      </c>
      <c r="G16" s="164" t="s">
        <v>3517</v>
      </c>
      <c r="H16" s="164"/>
      <c r="I16" s="303" t="s">
        <v>3704</v>
      </c>
    </row>
    <row r="17" spans="1:9" ht="220" customHeight="1" x14ac:dyDescent="0.35">
      <c r="A17" s="164">
        <v>12</v>
      </c>
      <c r="B17" s="164" t="s">
        <v>3497</v>
      </c>
      <c r="C17" s="164" t="s">
        <v>204</v>
      </c>
      <c r="D17" s="164" t="s">
        <v>308</v>
      </c>
      <c r="E17" s="164" t="s">
        <v>3496</v>
      </c>
      <c r="F17" s="164" t="s">
        <v>3495</v>
      </c>
      <c r="G17" s="164" t="s">
        <v>3518</v>
      </c>
      <c r="H17" s="164"/>
      <c r="I17" s="303" t="s">
        <v>3705</v>
      </c>
    </row>
    <row r="18" spans="1:9" ht="220" customHeight="1" x14ac:dyDescent="0.35">
      <c r="A18" s="165">
        <v>13</v>
      </c>
      <c r="B18" s="165" t="s">
        <v>3498</v>
      </c>
      <c r="C18" s="165" t="s">
        <v>201</v>
      </c>
      <c r="D18" s="165" t="s">
        <v>301</v>
      </c>
      <c r="E18" s="165" t="s">
        <v>3492</v>
      </c>
      <c r="F18" s="165" t="s">
        <v>3493</v>
      </c>
      <c r="G18" s="165" t="s">
        <v>3519</v>
      </c>
      <c r="H18" s="165"/>
      <c r="I18" s="303" t="s">
        <v>3706</v>
      </c>
    </row>
    <row r="19" spans="1:9" ht="220" customHeight="1" x14ac:dyDescent="0.35">
      <c r="A19" s="165">
        <v>14</v>
      </c>
      <c r="B19" s="165" t="s">
        <v>3498</v>
      </c>
      <c r="C19" s="165" t="s">
        <v>201</v>
      </c>
      <c r="D19" s="165" t="s">
        <v>301</v>
      </c>
      <c r="E19" s="165" t="s">
        <v>3492</v>
      </c>
      <c r="F19" s="165" t="s">
        <v>3494</v>
      </c>
      <c r="G19" s="165" t="s">
        <v>3520</v>
      </c>
      <c r="H19" s="165"/>
      <c r="I19" s="303" t="s">
        <v>3707</v>
      </c>
    </row>
    <row r="20" spans="1:9" ht="220" customHeight="1" x14ac:dyDescent="0.35">
      <c r="A20" s="165">
        <v>15</v>
      </c>
      <c r="B20" s="165" t="s">
        <v>3498</v>
      </c>
      <c r="C20" s="165" t="s">
        <v>201</v>
      </c>
      <c r="D20" s="165" t="s">
        <v>301</v>
      </c>
      <c r="E20" s="165" t="s">
        <v>3492</v>
      </c>
      <c r="F20" s="165" t="s">
        <v>3495</v>
      </c>
      <c r="G20" s="165" t="s">
        <v>3521</v>
      </c>
      <c r="H20" s="165"/>
      <c r="I20" s="303" t="s">
        <v>3708</v>
      </c>
    </row>
    <row r="21" spans="1:9" ht="220" customHeight="1" x14ac:dyDescent="0.35">
      <c r="A21" s="165">
        <v>16</v>
      </c>
      <c r="B21" s="165" t="s">
        <v>3498</v>
      </c>
      <c r="C21" s="165" t="s">
        <v>201</v>
      </c>
      <c r="D21" s="165" t="s">
        <v>301</v>
      </c>
      <c r="E21" s="165" t="s">
        <v>3496</v>
      </c>
      <c r="F21" s="165" t="s">
        <v>3493</v>
      </c>
      <c r="G21" s="165" t="s">
        <v>3522</v>
      </c>
      <c r="H21" s="165"/>
      <c r="I21" s="303" t="s">
        <v>3709</v>
      </c>
    </row>
    <row r="22" spans="1:9" ht="220" customHeight="1" x14ac:dyDescent="0.35">
      <c r="A22" s="165">
        <v>17</v>
      </c>
      <c r="B22" s="165" t="s">
        <v>3498</v>
      </c>
      <c r="C22" s="165" t="s">
        <v>201</v>
      </c>
      <c r="D22" s="165" t="s">
        <v>301</v>
      </c>
      <c r="E22" s="165" t="s">
        <v>3496</v>
      </c>
      <c r="F22" s="165" t="s">
        <v>3494</v>
      </c>
      <c r="G22" s="165" t="s">
        <v>3523</v>
      </c>
      <c r="H22" s="165"/>
      <c r="I22" s="303" t="s">
        <v>3710</v>
      </c>
    </row>
    <row r="23" spans="1:9" ht="220" customHeight="1" x14ac:dyDescent="0.35">
      <c r="A23" s="165">
        <v>18</v>
      </c>
      <c r="B23" s="165" t="s">
        <v>3498</v>
      </c>
      <c r="C23" s="165" t="s">
        <v>201</v>
      </c>
      <c r="D23" s="165" t="s">
        <v>301</v>
      </c>
      <c r="E23" s="165" t="s">
        <v>3496</v>
      </c>
      <c r="F23" s="165" t="s">
        <v>3495</v>
      </c>
      <c r="G23" s="165" t="s">
        <v>3524</v>
      </c>
      <c r="H23" s="165"/>
      <c r="I23" s="303" t="s">
        <v>3711</v>
      </c>
    </row>
    <row r="24" spans="1:9" ht="220" customHeight="1" x14ac:dyDescent="0.35">
      <c r="A24" s="166">
        <v>19</v>
      </c>
      <c r="B24" s="166" t="s">
        <v>3499</v>
      </c>
      <c r="C24" s="166" t="s">
        <v>201</v>
      </c>
      <c r="D24" s="166" t="s">
        <v>299</v>
      </c>
      <c r="E24" s="166" t="s">
        <v>3492</v>
      </c>
      <c r="F24" s="166" t="s">
        <v>3493</v>
      </c>
      <c r="G24" s="166" t="s">
        <v>3525</v>
      </c>
      <c r="H24" s="166"/>
      <c r="I24" s="303" t="s">
        <v>3712</v>
      </c>
    </row>
    <row r="25" spans="1:9" ht="220" customHeight="1" x14ac:dyDescent="0.35">
      <c r="A25" s="166">
        <v>20</v>
      </c>
      <c r="B25" s="166" t="s">
        <v>3499</v>
      </c>
      <c r="C25" s="166" t="s">
        <v>201</v>
      </c>
      <c r="D25" s="166" t="s">
        <v>299</v>
      </c>
      <c r="E25" s="166" t="s">
        <v>3492</v>
      </c>
      <c r="F25" s="166" t="s">
        <v>3494</v>
      </c>
      <c r="G25" s="166" t="s">
        <v>3526</v>
      </c>
      <c r="H25" s="166"/>
      <c r="I25" s="303" t="s">
        <v>3713</v>
      </c>
    </row>
    <row r="26" spans="1:9" ht="220" customHeight="1" x14ac:dyDescent="0.35">
      <c r="A26" s="166">
        <v>21</v>
      </c>
      <c r="B26" s="166" t="s">
        <v>3499</v>
      </c>
      <c r="C26" s="166" t="s">
        <v>201</v>
      </c>
      <c r="D26" s="166" t="s">
        <v>299</v>
      </c>
      <c r="E26" s="166" t="s">
        <v>3492</v>
      </c>
      <c r="F26" s="166" t="s">
        <v>3495</v>
      </c>
      <c r="G26" s="166" t="s">
        <v>3527</v>
      </c>
      <c r="H26" s="166"/>
      <c r="I26" s="303" t="s">
        <v>3714</v>
      </c>
    </row>
    <row r="27" spans="1:9" ht="220" customHeight="1" x14ac:dyDescent="0.35">
      <c r="A27" s="166">
        <v>22</v>
      </c>
      <c r="B27" s="166" t="s">
        <v>3499</v>
      </c>
      <c r="C27" s="166" t="s">
        <v>201</v>
      </c>
      <c r="D27" s="166" t="s">
        <v>299</v>
      </c>
      <c r="E27" s="166" t="s">
        <v>3496</v>
      </c>
      <c r="F27" s="166" t="s">
        <v>3493</v>
      </c>
      <c r="G27" s="166" t="s">
        <v>3528</v>
      </c>
      <c r="H27" s="166"/>
      <c r="I27" s="303" t="s">
        <v>3715</v>
      </c>
    </row>
    <row r="28" spans="1:9" ht="220" customHeight="1" x14ac:dyDescent="0.35">
      <c r="A28" s="166">
        <v>23</v>
      </c>
      <c r="B28" s="166" t="s">
        <v>3499</v>
      </c>
      <c r="C28" s="166" t="s">
        <v>201</v>
      </c>
      <c r="D28" s="166" t="s">
        <v>299</v>
      </c>
      <c r="E28" s="166" t="s">
        <v>3496</v>
      </c>
      <c r="F28" s="166" t="s">
        <v>3494</v>
      </c>
      <c r="G28" s="166" t="s">
        <v>3529</v>
      </c>
      <c r="H28" s="166"/>
      <c r="I28" s="303" t="s">
        <v>3716</v>
      </c>
    </row>
    <row r="29" spans="1:9" ht="220" customHeight="1" x14ac:dyDescent="0.35">
      <c r="A29" s="166">
        <v>24</v>
      </c>
      <c r="B29" s="166" t="s">
        <v>3499</v>
      </c>
      <c r="C29" s="166" t="s">
        <v>201</v>
      </c>
      <c r="D29" s="166" t="s">
        <v>299</v>
      </c>
      <c r="E29" s="166" t="s">
        <v>3496</v>
      </c>
      <c r="F29" s="166" t="s">
        <v>3495</v>
      </c>
      <c r="G29" s="166" t="s">
        <v>3530</v>
      </c>
      <c r="H29" s="166"/>
      <c r="I29" s="303" t="s">
        <v>3717</v>
      </c>
    </row>
    <row r="30" spans="1:9" ht="220" customHeight="1" x14ac:dyDescent="0.35">
      <c r="A30" s="167">
        <v>25</v>
      </c>
      <c r="B30" s="167" t="s">
        <v>3500</v>
      </c>
      <c r="C30" s="167" t="s">
        <v>198</v>
      </c>
      <c r="D30" s="167" t="s">
        <v>290</v>
      </c>
      <c r="E30" s="167" t="s">
        <v>3492</v>
      </c>
      <c r="F30" s="167" t="s">
        <v>3493</v>
      </c>
      <c r="G30" s="167" t="s">
        <v>3531</v>
      </c>
      <c r="H30" s="167"/>
      <c r="I30" s="303" t="s">
        <v>3718</v>
      </c>
    </row>
    <row r="31" spans="1:9" ht="220" customHeight="1" x14ac:dyDescent="0.35">
      <c r="A31" s="167">
        <v>26</v>
      </c>
      <c r="B31" s="167" t="s">
        <v>3500</v>
      </c>
      <c r="C31" s="167" t="s">
        <v>198</v>
      </c>
      <c r="D31" s="167" t="s">
        <v>290</v>
      </c>
      <c r="E31" s="167" t="s">
        <v>3492</v>
      </c>
      <c r="F31" s="167" t="s">
        <v>3494</v>
      </c>
      <c r="G31" s="167" t="s">
        <v>3532</v>
      </c>
      <c r="H31" s="167"/>
      <c r="I31" s="303" t="s">
        <v>3719</v>
      </c>
    </row>
    <row r="32" spans="1:9" ht="220" customHeight="1" x14ac:dyDescent="0.35">
      <c r="A32" s="167">
        <v>27</v>
      </c>
      <c r="B32" s="167" t="s">
        <v>3500</v>
      </c>
      <c r="C32" s="167" t="s">
        <v>198</v>
      </c>
      <c r="D32" s="167" t="s">
        <v>290</v>
      </c>
      <c r="E32" s="167" t="s">
        <v>3492</v>
      </c>
      <c r="F32" s="167" t="s">
        <v>3495</v>
      </c>
      <c r="G32" s="167" t="s">
        <v>3533</v>
      </c>
      <c r="H32" s="167"/>
      <c r="I32" s="303" t="s">
        <v>3720</v>
      </c>
    </row>
    <row r="33" spans="1:9" ht="220" customHeight="1" x14ac:dyDescent="0.35">
      <c r="A33" s="167">
        <v>28</v>
      </c>
      <c r="B33" s="167" t="s">
        <v>3500</v>
      </c>
      <c r="C33" s="167" t="s">
        <v>198</v>
      </c>
      <c r="D33" s="167" t="s">
        <v>290</v>
      </c>
      <c r="E33" s="167" t="s">
        <v>3496</v>
      </c>
      <c r="F33" s="167" t="s">
        <v>3493</v>
      </c>
      <c r="G33" s="167" t="s">
        <v>3534</v>
      </c>
      <c r="H33" s="167"/>
      <c r="I33" s="303" t="s">
        <v>3721</v>
      </c>
    </row>
    <row r="34" spans="1:9" ht="220" customHeight="1" x14ac:dyDescent="0.35">
      <c r="A34" s="167">
        <v>29</v>
      </c>
      <c r="B34" s="167" t="s">
        <v>3500</v>
      </c>
      <c r="C34" s="167" t="s">
        <v>198</v>
      </c>
      <c r="D34" s="167" t="s">
        <v>290</v>
      </c>
      <c r="E34" s="167" t="s">
        <v>3496</v>
      </c>
      <c r="F34" s="167" t="s">
        <v>3494</v>
      </c>
      <c r="G34" s="167" t="s">
        <v>3535</v>
      </c>
      <c r="H34" s="167"/>
      <c r="I34" s="303" t="s">
        <v>3722</v>
      </c>
    </row>
    <row r="35" spans="1:9" ht="220" customHeight="1" x14ac:dyDescent="0.35">
      <c r="A35" s="167">
        <v>30</v>
      </c>
      <c r="B35" s="167" t="s">
        <v>3500</v>
      </c>
      <c r="C35" s="167" t="s">
        <v>198</v>
      </c>
      <c r="D35" s="167" t="s">
        <v>290</v>
      </c>
      <c r="E35" s="167" t="s">
        <v>3496</v>
      </c>
      <c r="F35" s="167" t="s">
        <v>3495</v>
      </c>
      <c r="G35" s="167" t="s">
        <v>3536</v>
      </c>
      <c r="H35" s="167"/>
      <c r="I35" s="303" t="s">
        <v>3723</v>
      </c>
    </row>
    <row r="36" spans="1:9" ht="220" customHeight="1" x14ac:dyDescent="0.35">
      <c r="A36" s="168">
        <v>31</v>
      </c>
      <c r="B36" s="168" t="s">
        <v>3501</v>
      </c>
      <c r="C36" s="168" t="s">
        <v>198</v>
      </c>
      <c r="D36" s="168" t="s">
        <v>286</v>
      </c>
      <c r="E36" s="168" t="s">
        <v>3492</v>
      </c>
      <c r="F36" s="168" t="s">
        <v>3493</v>
      </c>
      <c r="G36" s="168" t="s">
        <v>3537</v>
      </c>
      <c r="H36" s="168"/>
      <c r="I36" s="303" t="s">
        <v>3724</v>
      </c>
    </row>
    <row r="37" spans="1:9" ht="220" customHeight="1" x14ac:dyDescent="0.35">
      <c r="A37" s="168">
        <v>32</v>
      </c>
      <c r="B37" s="168" t="s">
        <v>3501</v>
      </c>
      <c r="C37" s="168" t="s">
        <v>198</v>
      </c>
      <c r="D37" s="168" t="s">
        <v>286</v>
      </c>
      <c r="E37" s="168" t="s">
        <v>3492</v>
      </c>
      <c r="F37" s="168" t="s">
        <v>3494</v>
      </c>
      <c r="G37" s="168" t="s">
        <v>3538</v>
      </c>
      <c r="H37" s="168"/>
      <c r="I37" s="303" t="s">
        <v>3725</v>
      </c>
    </row>
    <row r="38" spans="1:9" ht="220" customHeight="1" x14ac:dyDescent="0.35">
      <c r="A38" s="168">
        <v>33</v>
      </c>
      <c r="B38" s="168" t="s">
        <v>3501</v>
      </c>
      <c r="C38" s="168" t="s">
        <v>198</v>
      </c>
      <c r="D38" s="168" t="s">
        <v>286</v>
      </c>
      <c r="E38" s="168" t="s">
        <v>3492</v>
      </c>
      <c r="F38" s="168" t="s">
        <v>3495</v>
      </c>
      <c r="G38" s="168" t="s">
        <v>3539</v>
      </c>
      <c r="H38" s="168"/>
      <c r="I38" s="303" t="s">
        <v>3726</v>
      </c>
    </row>
    <row r="39" spans="1:9" ht="220" customHeight="1" x14ac:dyDescent="0.35">
      <c r="A39" s="168">
        <v>34</v>
      </c>
      <c r="B39" s="168" t="s">
        <v>3501</v>
      </c>
      <c r="C39" s="168" t="s">
        <v>198</v>
      </c>
      <c r="D39" s="168" t="s">
        <v>286</v>
      </c>
      <c r="E39" s="168" t="s">
        <v>3496</v>
      </c>
      <c r="F39" s="168" t="s">
        <v>3493</v>
      </c>
      <c r="G39" s="168" t="s">
        <v>3540</v>
      </c>
      <c r="H39" s="168"/>
      <c r="I39" s="303" t="s">
        <v>3727</v>
      </c>
    </row>
    <row r="40" spans="1:9" ht="220" customHeight="1" x14ac:dyDescent="0.35">
      <c r="A40" s="168">
        <v>35</v>
      </c>
      <c r="B40" s="168" t="s">
        <v>3501</v>
      </c>
      <c r="C40" s="168" t="s">
        <v>198</v>
      </c>
      <c r="D40" s="168" t="s">
        <v>286</v>
      </c>
      <c r="E40" s="168" t="s">
        <v>3496</v>
      </c>
      <c r="F40" s="168" t="s">
        <v>3494</v>
      </c>
      <c r="G40" s="168" t="s">
        <v>3541</v>
      </c>
      <c r="H40" s="168"/>
      <c r="I40" s="303" t="s">
        <v>3728</v>
      </c>
    </row>
    <row r="41" spans="1:9" ht="220" customHeight="1" x14ac:dyDescent="0.35">
      <c r="A41" s="168">
        <v>36</v>
      </c>
      <c r="B41" s="168" t="s">
        <v>3501</v>
      </c>
      <c r="C41" s="168" t="s">
        <v>198</v>
      </c>
      <c r="D41" s="168" t="s">
        <v>286</v>
      </c>
      <c r="E41" s="168" t="s">
        <v>3496</v>
      </c>
      <c r="F41" s="168" t="s">
        <v>3495</v>
      </c>
      <c r="G41" s="168" t="s">
        <v>3542</v>
      </c>
      <c r="H41" s="168"/>
      <c r="I41" s="303" t="s">
        <v>3729</v>
      </c>
    </row>
    <row r="42" spans="1:9" ht="220" customHeight="1" x14ac:dyDescent="0.35">
      <c r="A42" s="169">
        <v>37</v>
      </c>
      <c r="B42" s="169" t="s">
        <v>3502</v>
      </c>
      <c r="C42" s="169" t="s">
        <v>198</v>
      </c>
      <c r="D42" s="169" t="s">
        <v>282</v>
      </c>
      <c r="E42" s="169" t="s">
        <v>3492</v>
      </c>
      <c r="F42" s="169" t="s">
        <v>3493</v>
      </c>
      <c r="G42" s="169" t="s">
        <v>3543</v>
      </c>
      <c r="H42" s="169"/>
      <c r="I42" s="303" t="s">
        <v>3730</v>
      </c>
    </row>
    <row r="43" spans="1:9" ht="220" customHeight="1" x14ac:dyDescent="0.35">
      <c r="A43" s="169">
        <v>38</v>
      </c>
      <c r="B43" s="169" t="s">
        <v>3502</v>
      </c>
      <c r="C43" s="169" t="s">
        <v>198</v>
      </c>
      <c r="D43" s="169" t="s">
        <v>282</v>
      </c>
      <c r="E43" s="169" t="s">
        <v>3492</v>
      </c>
      <c r="F43" s="169" t="s">
        <v>3494</v>
      </c>
      <c r="G43" s="169" t="s">
        <v>3544</v>
      </c>
      <c r="H43" s="169"/>
      <c r="I43" s="303" t="s">
        <v>3731</v>
      </c>
    </row>
    <row r="44" spans="1:9" ht="220" customHeight="1" x14ac:dyDescent="0.35">
      <c r="A44" s="169">
        <v>39</v>
      </c>
      <c r="B44" s="169" t="s">
        <v>3502</v>
      </c>
      <c r="C44" s="169" t="s">
        <v>198</v>
      </c>
      <c r="D44" s="169" t="s">
        <v>282</v>
      </c>
      <c r="E44" s="169" t="s">
        <v>3492</v>
      </c>
      <c r="F44" s="169" t="s">
        <v>3495</v>
      </c>
      <c r="G44" s="169" t="s">
        <v>3545</v>
      </c>
      <c r="H44" s="169"/>
      <c r="I44" s="303" t="s">
        <v>3732</v>
      </c>
    </row>
    <row r="45" spans="1:9" ht="220" customHeight="1" x14ac:dyDescent="0.35">
      <c r="A45" s="169">
        <v>40</v>
      </c>
      <c r="B45" s="169" t="s">
        <v>3502</v>
      </c>
      <c r="C45" s="169" t="s">
        <v>198</v>
      </c>
      <c r="D45" s="169" t="s">
        <v>282</v>
      </c>
      <c r="E45" s="169" t="s">
        <v>3496</v>
      </c>
      <c r="F45" s="169" t="s">
        <v>3493</v>
      </c>
      <c r="G45" s="169" t="s">
        <v>3546</v>
      </c>
      <c r="H45" s="169"/>
      <c r="I45" s="303" t="s">
        <v>3733</v>
      </c>
    </row>
    <row r="46" spans="1:9" ht="220" customHeight="1" x14ac:dyDescent="0.35">
      <c r="A46" s="169">
        <v>41</v>
      </c>
      <c r="B46" s="169" t="s">
        <v>3502</v>
      </c>
      <c r="C46" s="169" t="s">
        <v>198</v>
      </c>
      <c r="D46" s="169" t="s">
        <v>282</v>
      </c>
      <c r="E46" s="169" t="s">
        <v>3496</v>
      </c>
      <c r="F46" s="169" t="s">
        <v>3494</v>
      </c>
      <c r="G46" s="169" t="s">
        <v>3547</v>
      </c>
      <c r="H46" s="169"/>
      <c r="I46" s="303" t="s">
        <v>3734</v>
      </c>
    </row>
    <row r="47" spans="1:9" ht="220" customHeight="1" x14ac:dyDescent="0.35">
      <c r="A47" s="169">
        <v>42</v>
      </c>
      <c r="B47" s="169" t="s">
        <v>3502</v>
      </c>
      <c r="C47" s="169" t="s">
        <v>198</v>
      </c>
      <c r="D47" s="169" t="s">
        <v>282</v>
      </c>
      <c r="E47" s="169" t="s">
        <v>3496</v>
      </c>
      <c r="F47" s="169" t="s">
        <v>3495</v>
      </c>
      <c r="G47" s="169" t="s">
        <v>3548</v>
      </c>
      <c r="H47" s="169"/>
      <c r="I47" s="303" t="s">
        <v>3735</v>
      </c>
    </row>
    <row r="48" spans="1:9" ht="220" customHeight="1" x14ac:dyDescent="0.35">
      <c r="A48" s="170">
        <v>43</v>
      </c>
      <c r="B48" s="170" t="s">
        <v>3503</v>
      </c>
      <c r="C48" s="170" t="s">
        <v>195</v>
      </c>
      <c r="D48" s="170" t="s">
        <v>272</v>
      </c>
      <c r="E48" s="170" t="s">
        <v>3492</v>
      </c>
      <c r="F48" s="170" t="s">
        <v>3493</v>
      </c>
      <c r="G48" s="170" t="s">
        <v>3549</v>
      </c>
      <c r="H48" s="170"/>
      <c r="I48" s="303" t="s">
        <v>3736</v>
      </c>
    </row>
    <row r="49" spans="1:9" ht="220" customHeight="1" x14ac:dyDescent="0.35">
      <c r="A49" s="170">
        <v>44</v>
      </c>
      <c r="B49" s="170" t="s">
        <v>3503</v>
      </c>
      <c r="C49" s="170" t="s">
        <v>195</v>
      </c>
      <c r="D49" s="170" t="s">
        <v>272</v>
      </c>
      <c r="E49" s="170" t="s">
        <v>3492</v>
      </c>
      <c r="F49" s="170" t="s">
        <v>3494</v>
      </c>
      <c r="G49" s="170" t="s">
        <v>3550</v>
      </c>
      <c r="H49" s="170"/>
      <c r="I49" s="303" t="s">
        <v>3737</v>
      </c>
    </row>
    <row r="50" spans="1:9" ht="220" customHeight="1" x14ac:dyDescent="0.35">
      <c r="A50" s="170">
        <v>45</v>
      </c>
      <c r="B50" s="170" t="s">
        <v>3503</v>
      </c>
      <c r="C50" s="170" t="s">
        <v>195</v>
      </c>
      <c r="D50" s="170" t="s">
        <v>272</v>
      </c>
      <c r="E50" s="170" t="s">
        <v>3492</v>
      </c>
      <c r="F50" s="170" t="s">
        <v>3495</v>
      </c>
      <c r="G50" s="170" t="s">
        <v>3551</v>
      </c>
      <c r="H50" s="170"/>
      <c r="I50" s="303" t="s">
        <v>3738</v>
      </c>
    </row>
    <row r="51" spans="1:9" ht="220" customHeight="1" x14ac:dyDescent="0.35">
      <c r="A51" s="170">
        <v>46</v>
      </c>
      <c r="B51" s="170" t="s">
        <v>3503</v>
      </c>
      <c r="C51" s="170" t="s">
        <v>195</v>
      </c>
      <c r="D51" s="170" t="s">
        <v>272</v>
      </c>
      <c r="E51" s="170" t="s">
        <v>3496</v>
      </c>
      <c r="F51" s="170" t="s">
        <v>3493</v>
      </c>
      <c r="G51" s="170" t="s">
        <v>3552</v>
      </c>
      <c r="H51" s="170"/>
      <c r="I51" s="303" t="s">
        <v>3739</v>
      </c>
    </row>
    <row r="52" spans="1:9" ht="220" customHeight="1" x14ac:dyDescent="0.35">
      <c r="A52" s="170">
        <v>47</v>
      </c>
      <c r="B52" s="170" t="s">
        <v>3503</v>
      </c>
      <c r="C52" s="170" t="s">
        <v>195</v>
      </c>
      <c r="D52" s="170" t="s">
        <v>272</v>
      </c>
      <c r="E52" s="170" t="s">
        <v>3496</v>
      </c>
      <c r="F52" s="170" t="s">
        <v>3494</v>
      </c>
      <c r="G52" s="170" t="s">
        <v>3553</v>
      </c>
      <c r="H52" s="170"/>
      <c r="I52" s="303" t="s">
        <v>3740</v>
      </c>
    </row>
    <row r="53" spans="1:9" ht="220" customHeight="1" x14ac:dyDescent="0.35">
      <c r="A53" s="170">
        <v>48</v>
      </c>
      <c r="B53" s="170" t="s">
        <v>3503</v>
      </c>
      <c r="C53" s="170" t="s">
        <v>195</v>
      </c>
      <c r="D53" s="170" t="s">
        <v>272</v>
      </c>
      <c r="E53" s="170" t="s">
        <v>3496</v>
      </c>
      <c r="F53" s="170" t="s">
        <v>3495</v>
      </c>
      <c r="G53" s="170" t="s">
        <v>3554</v>
      </c>
      <c r="H53" s="170"/>
      <c r="I53" s="303" t="s">
        <v>3741</v>
      </c>
    </row>
    <row r="54" spans="1:9" ht="220" customHeight="1" x14ac:dyDescent="0.35">
      <c r="A54" s="171">
        <v>49</v>
      </c>
      <c r="B54" s="171" t="s">
        <v>3504</v>
      </c>
      <c r="C54" s="171" t="s">
        <v>195</v>
      </c>
      <c r="D54" s="171" t="s">
        <v>275</v>
      </c>
      <c r="E54" s="171" t="s">
        <v>3492</v>
      </c>
      <c r="F54" s="171" t="s">
        <v>3493</v>
      </c>
      <c r="G54" s="171" t="s">
        <v>3555</v>
      </c>
      <c r="H54" s="171"/>
      <c r="I54" s="303" t="s">
        <v>3742</v>
      </c>
    </row>
    <row r="55" spans="1:9" ht="220" customHeight="1" x14ac:dyDescent="0.35">
      <c r="A55" s="171">
        <v>50</v>
      </c>
      <c r="B55" s="171" t="s">
        <v>3504</v>
      </c>
      <c r="C55" s="171" t="s">
        <v>195</v>
      </c>
      <c r="D55" s="171" t="s">
        <v>275</v>
      </c>
      <c r="E55" s="171" t="s">
        <v>3492</v>
      </c>
      <c r="F55" s="171" t="s">
        <v>3494</v>
      </c>
      <c r="G55" s="171" t="s">
        <v>3556</v>
      </c>
      <c r="H55" s="171"/>
      <c r="I55" s="303" t="s">
        <v>3743</v>
      </c>
    </row>
    <row r="56" spans="1:9" ht="220" customHeight="1" x14ac:dyDescent="0.35">
      <c r="A56" s="171">
        <v>51</v>
      </c>
      <c r="B56" s="171" t="s">
        <v>3504</v>
      </c>
      <c r="C56" s="171" t="s">
        <v>195</v>
      </c>
      <c r="D56" s="171" t="s">
        <v>275</v>
      </c>
      <c r="E56" s="171" t="s">
        <v>3492</v>
      </c>
      <c r="F56" s="171" t="s">
        <v>3495</v>
      </c>
      <c r="G56" s="171" t="s">
        <v>3557</v>
      </c>
      <c r="H56" s="171"/>
      <c r="I56" s="303" t="s">
        <v>3744</v>
      </c>
    </row>
    <row r="57" spans="1:9" ht="220" customHeight="1" x14ac:dyDescent="0.35">
      <c r="A57" s="171">
        <v>52</v>
      </c>
      <c r="B57" s="171" t="s">
        <v>3504</v>
      </c>
      <c r="C57" s="171" t="s">
        <v>195</v>
      </c>
      <c r="D57" s="171" t="s">
        <v>275</v>
      </c>
      <c r="E57" s="171" t="s">
        <v>3496</v>
      </c>
      <c r="F57" s="171" t="s">
        <v>3493</v>
      </c>
      <c r="G57" s="171" t="s">
        <v>3558</v>
      </c>
      <c r="H57" s="171"/>
      <c r="I57" s="303" t="s">
        <v>3745</v>
      </c>
    </row>
    <row r="58" spans="1:9" ht="220" customHeight="1" x14ac:dyDescent="0.35">
      <c r="A58" s="171">
        <v>53</v>
      </c>
      <c r="B58" s="171" t="s">
        <v>3504</v>
      </c>
      <c r="C58" s="171" t="s">
        <v>195</v>
      </c>
      <c r="D58" s="171" t="s">
        <v>275</v>
      </c>
      <c r="E58" s="171" t="s">
        <v>3496</v>
      </c>
      <c r="F58" s="171" t="s">
        <v>3494</v>
      </c>
      <c r="G58" s="171" t="s">
        <v>3559</v>
      </c>
      <c r="H58" s="171"/>
      <c r="I58" s="303" t="s">
        <v>3746</v>
      </c>
    </row>
    <row r="59" spans="1:9" ht="220" customHeight="1" x14ac:dyDescent="0.35">
      <c r="A59" s="171">
        <v>54</v>
      </c>
      <c r="B59" s="171" t="s">
        <v>3504</v>
      </c>
      <c r="C59" s="171" t="s">
        <v>195</v>
      </c>
      <c r="D59" s="171" t="s">
        <v>275</v>
      </c>
      <c r="E59" s="171" t="s">
        <v>3496</v>
      </c>
      <c r="F59" s="171" t="s">
        <v>3495</v>
      </c>
      <c r="G59" s="171" t="s">
        <v>3560</v>
      </c>
      <c r="H59" s="171"/>
      <c r="I59" s="303" t="s">
        <v>3747</v>
      </c>
    </row>
    <row r="60" spans="1:9" ht="220" customHeight="1" x14ac:dyDescent="0.35">
      <c r="A60" s="172">
        <v>55</v>
      </c>
      <c r="B60" s="172" t="s">
        <v>3505</v>
      </c>
      <c r="C60" s="172" t="s">
        <v>192</v>
      </c>
      <c r="D60" s="172" t="s">
        <v>261</v>
      </c>
      <c r="E60" s="172" t="s">
        <v>3492</v>
      </c>
      <c r="F60" s="172" t="s">
        <v>3493</v>
      </c>
      <c r="G60" s="172" t="s">
        <v>3561</v>
      </c>
      <c r="H60" s="172"/>
      <c r="I60" s="303" t="s">
        <v>3748</v>
      </c>
    </row>
    <row r="61" spans="1:9" ht="220" customHeight="1" x14ac:dyDescent="0.35">
      <c r="A61" s="172">
        <v>56</v>
      </c>
      <c r="B61" s="172" t="s">
        <v>3505</v>
      </c>
      <c r="C61" s="172" t="s">
        <v>192</v>
      </c>
      <c r="D61" s="172" t="s">
        <v>261</v>
      </c>
      <c r="E61" s="172" t="s">
        <v>3492</v>
      </c>
      <c r="F61" s="172" t="s">
        <v>3494</v>
      </c>
      <c r="G61" s="172" t="s">
        <v>3562</v>
      </c>
      <c r="H61" s="172"/>
      <c r="I61" s="303" t="s">
        <v>3749</v>
      </c>
    </row>
    <row r="62" spans="1:9" ht="220" customHeight="1" x14ac:dyDescent="0.35">
      <c r="A62" s="172">
        <v>57</v>
      </c>
      <c r="B62" s="172" t="s">
        <v>3505</v>
      </c>
      <c r="C62" s="172" t="s">
        <v>192</v>
      </c>
      <c r="D62" s="172" t="s">
        <v>261</v>
      </c>
      <c r="E62" s="172" t="s">
        <v>3492</v>
      </c>
      <c r="F62" s="172" t="s">
        <v>3495</v>
      </c>
      <c r="G62" s="172" t="s">
        <v>3563</v>
      </c>
      <c r="H62" s="172"/>
      <c r="I62" s="303" t="s">
        <v>3750</v>
      </c>
    </row>
    <row r="63" spans="1:9" ht="220" customHeight="1" x14ac:dyDescent="0.35">
      <c r="A63" s="172">
        <v>58</v>
      </c>
      <c r="B63" s="172" t="s">
        <v>3505</v>
      </c>
      <c r="C63" s="172" t="s">
        <v>192</v>
      </c>
      <c r="D63" s="172" t="s">
        <v>261</v>
      </c>
      <c r="E63" s="172" t="s">
        <v>3496</v>
      </c>
      <c r="F63" s="172" t="s">
        <v>3493</v>
      </c>
      <c r="G63" s="172" t="s">
        <v>3564</v>
      </c>
      <c r="H63" s="172"/>
      <c r="I63" s="303" t="s">
        <v>3751</v>
      </c>
    </row>
    <row r="64" spans="1:9" ht="220" customHeight="1" x14ac:dyDescent="0.35">
      <c r="A64" s="172">
        <v>59</v>
      </c>
      <c r="B64" s="172" t="s">
        <v>3505</v>
      </c>
      <c r="C64" s="172" t="s">
        <v>192</v>
      </c>
      <c r="D64" s="172" t="s">
        <v>261</v>
      </c>
      <c r="E64" s="172" t="s">
        <v>3496</v>
      </c>
      <c r="F64" s="172" t="s">
        <v>3494</v>
      </c>
      <c r="G64" s="172" t="s">
        <v>3565</v>
      </c>
      <c r="H64" s="172"/>
      <c r="I64" s="303" t="s">
        <v>3752</v>
      </c>
    </row>
    <row r="65" spans="1:9" ht="220" customHeight="1" x14ac:dyDescent="0.35">
      <c r="A65" s="172">
        <v>60</v>
      </c>
      <c r="B65" s="172" t="s">
        <v>3505</v>
      </c>
      <c r="C65" s="172" t="s">
        <v>192</v>
      </c>
      <c r="D65" s="172" t="s">
        <v>261</v>
      </c>
      <c r="E65" s="172" t="s">
        <v>3496</v>
      </c>
      <c r="F65" s="172" t="s">
        <v>3495</v>
      </c>
      <c r="G65" s="172" t="s">
        <v>3566</v>
      </c>
      <c r="H65" s="172"/>
      <c r="I65" s="303" t="s">
        <v>3753</v>
      </c>
    </row>
    <row r="66" spans="1:9" ht="220" customHeight="1" x14ac:dyDescent="0.35">
      <c r="A66" s="173">
        <v>61</v>
      </c>
      <c r="B66" s="173" t="s">
        <v>3506</v>
      </c>
      <c r="C66" s="173" t="s">
        <v>192</v>
      </c>
      <c r="D66" s="173" t="s">
        <v>263</v>
      </c>
      <c r="E66" s="173" t="s">
        <v>3492</v>
      </c>
      <c r="F66" s="173" t="s">
        <v>3493</v>
      </c>
      <c r="G66" s="173" t="s">
        <v>3567</v>
      </c>
      <c r="H66" s="173"/>
      <c r="I66" s="303" t="s">
        <v>3754</v>
      </c>
    </row>
    <row r="67" spans="1:9" ht="220" customHeight="1" x14ac:dyDescent="0.35">
      <c r="A67" s="173">
        <v>62</v>
      </c>
      <c r="B67" s="173" t="s">
        <v>3506</v>
      </c>
      <c r="C67" s="173" t="s">
        <v>192</v>
      </c>
      <c r="D67" s="173" t="s">
        <v>263</v>
      </c>
      <c r="E67" s="173" t="s">
        <v>3492</v>
      </c>
      <c r="F67" s="173" t="s">
        <v>3494</v>
      </c>
      <c r="G67" s="173" t="s">
        <v>3568</v>
      </c>
      <c r="H67" s="173"/>
      <c r="I67" s="303" t="s">
        <v>3755</v>
      </c>
    </row>
    <row r="68" spans="1:9" ht="220" customHeight="1" x14ac:dyDescent="0.35">
      <c r="A68" s="173">
        <v>63</v>
      </c>
      <c r="B68" s="173" t="s">
        <v>3506</v>
      </c>
      <c r="C68" s="173" t="s">
        <v>192</v>
      </c>
      <c r="D68" s="173" t="s">
        <v>263</v>
      </c>
      <c r="E68" s="173" t="s">
        <v>3492</v>
      </c>
      <c r="F68" s="173" t="s">
        <v>3495</v>
      </c>
      <c r="G68" s="173" t="s">
        <v>3569</v>
      </c>
      <c r="H68" s="173"/>
      <c r="I68" s="303" t="s">
        <v>3756</v>
      </c>
    </row>
    <row r="69" spans="1:9" ht="220" customHeight="1" x14ac:dyDescent="0.35">
      <c r="A69" s="173">
        <v>64</v>
      </c>
      <c r="B69" s="173" t="s">
        <v>3506</v>
      </c>
      <c r="C69" s="173" t="s">
        <v>192</v>
      </c>
      <c r="D69" s="173" t="s">
        <v>263</v>
      </c>
      <c r="E69" s="173" t="s">
        <v>3496</v>
      </c>
      <c r="F69" s="173" t="s">
        <v>3493</v>
      </c>
      <c r="G69" s="173" t="s">
        <v>3570</v>
      </c>
      <c r="H69" s="173"/>
      <c r="I69" s="303" t="s">
        <v>3757</v>
      </c>
    </row>
    <row r="70" spans="1:9" ht="220" customHeight="1" x14ac:dyDescent="0.35">
      <c r="A70" s="173">
        <v>65</v>
      </c>
      <c r="B70" s="173" t="s">
        <v>3506</v>
      </c>
      <c r="C70" s="173" t="s">
        <v>192</v>
      </c>
      <c r="D70" s="173" t="s">
        <v>263</v>
      </c>
      <c r="E70" s="173" t="s">
        <v>3496</v>
      </c>
      <c r="F70" s="173" t="s">
        <v>3494</v>
      </c>
      <c r="G70" s="173" t="s">
        <v>3571</v>
      </c>
      <c r="H70" s="173"/>
      <c r="I70" s="303" t="s">
        <v>3758</v>
      </c>
    </row>
    <row r="71" spans="1:9" ht="220" customHeight="1" x14ac:dyDescent="0.35">
      <c r="A71" s="173">
        <v>66</v>
      </c>
      <c r="B71" s="173" t="s">
        <v>3506</v>
      </c>
      <c r="C71" s="173" t="s">
        <v>192</v>
      </c>
      <c r="D71" s="173" t="s">
        <v>263</v>
      </c>
      <c r="E71" s="173" t="s">
        <v>3496</v>
      </c>
      <c r="F71" s="173" t="s">
        <v>3495</v>
      </c>
      <c r="G71" s="173" t="s">
        <v>3572</v>
      </c>
      <c r="H71" s="173"/>
      <c r="I71" s="303" t="s">
        <v>3759</v>
      </c>
    </row>
  </sheetData>
  <mergeCells count="2">
    <mergeCell ref="A1:H1"/>
    <mergeCell ref="A3:H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1D02-C5EC-41EA-9D52-3AE6AFB98017}">
  <dimension ref="A1:H153"/>
  <sheetViews>
    <sheetView topLeftCell="B1" workbookViewId="0">
      <selection activeCell="D8" sqref="D8"/>
    </sheetView>
  </sheetViews>
  <sheetFormatPr defaultRowHeight="14.5" x14ac:dyDescent="0.35"/>
  <cols>
    <col min="1" max="1" width="17.36328125" customWidth="1"/>
    <col min="2" max="2" width="18.08984375" customWidth="1"/>
    <col min="3" max="3" width="19.08984375" customWidth="1"/>
    <col min="4" max="4" width="61.81640625" customWidth="1"/>
    <col min="5" max="5" width="15.90625" customWidth="1"/>
    <col min="6" max="6" width="12.7265625" customWidth="1"/>
    <col min="7" max="7" width="61.81640625" customWidth="1"/>
    <col min="8" max="8" width="47.26953125" customWidth="1"/>
  </cols>
  <sheetData>
    <row r="1" spans="1:8" ht="80" customHeight="1" x14ac:dyDescent="0.35">
      <c r="A1" s="183" t="s">
        <v>1852</v>
      </c>
      <c r="B1" s="182"/>
      <c r="C1" s="182"/>
      <c r="D1" s="182"/>
      <c r="E1" s="182"/>
      <c r="F1" s="182"/>
      <c r="G1" s="182"/>
      <c r="H1" s="182"/>
    </row>
    <row r="2" spans="1:8" ht="16" customHeight="1" x14ac:dyDescent="0.35">
      <c r="A2" s="184" t="s">
        <v>1853</v>
      </c>
      <c r="B2" s="182"/>
      <c r="C2" s="182"/>
      <c r="D2" s="182"/>
      <c r="E2" s="182"/>
      <c r="F2" s="182"/>
      <c r="G2" s="182"/>
      <c r="H2" s="182"/>
    </row>
    <row r="3" spans="1:8" ht="45" customHeight="1" x14ac:dyDescent="0.35">
      <c r="A3" s="185" t="s">
        <v>1854</v>
      </c>
      <c r="B3" s="182"/>
      <c r="C3" s="182"/>
      <c r="D3" s="182"/>
      <c r="E3" s="182"/>
      <c r="F3" s="182"/>
      <c r="G3" s="182"/>
      <c r="H3" s="182"/>
    </row>
    <row r="5" spans="1:8" x14ac:dyDescent="0.35">
      <c r="A5" s="186" t="s">
        <v>1855</v>
      </c>
      <c r="B5" s="182"/>
      <c r="C5" s="182"/>
      <c r="D5" s="182"/>
      <c r="E5" s="182"/>
      <c r="F5" s="182"/>
      <c r="G5" s="182"/>
      <c r="H5" s="182"/>
    </row>
    <row r="6" spans="1:8" ht="35" customHeight="1" x14ac:dyDescent="0.35">
      <c r="A6" s="187" t="s">
        <v>1856</v>
      </c>
      <c r="B6" s="182"/>
      <c r="C6" s="182"/>
      <c r="D6" s="182"/>
      <c r="E6" s="182"/>
      <c r="F6" s="182"/>
      <c r="G6" s="182"/>
      <c r="H6" s="182"/>
    </row>
    <row r="7" spans="1:8" x14ac:dyDescent="0.35">
      <c r="A7" s="117" t="s">
        <v>1857</v>
      </c>
      <c r="B7" s="117" t="s">
        <v>1858</v>
      </c>
      <c r="C7" s="117" t="s">
        <v>1859</v>
      </c>
      <c r="D7" s="117" t="s">
        <v>1860</v>
      </c>
      <c r="E7" s="117" t="s">
        <v>1861</v>
      </c>
      <c r="F7" s="117" t="s">
        <v>1862</v>
      </c>
      <c r="G7" s="117" t="s">
        <v>1863</v>
      </c>
      <c r="H7" s="117" t="s">
        <v>3</v>
      </c>
    </row>
    <row r="8" spans="1:8" x14ac:dyDescent="0.35">
      <c r="A8" s="118" t="s">
        <v>1864</v>
      </c>
      <c r="B8" s="118" t="s">
        <v>1865</v>
      </c>
      <c r="C8" s="118" t="s">
        <v>1866</v>
      </c>
      <c r="D8" s="118" t="s">
        <v>1867</v>
      </c>
      <c r="E8" s="118" t="s">
        <v>4</v>
      </c>
      <c r="F8" s="118">
        <v>14</v>
      </c>
      <c r="G8" s="118" t="s">
        <v>1867</v>
      </c>
      <c r="H8" s="118" t="s">
        <v>1868</v>
      </c>
    </row>
    <row r="9" spans="1:8" ht="24" customHeight="1" x14ac:dyDescent="0.35">
      <c r="A9" s="118" t="s">
        <v>1869</v>
      </c>
      <c r="B9" s="118" t="s">
        <v>1870</v>
      </c>
      <c r="C9" s="118" t="s">
        <v>1871</v>
      </c>
      <c r="D9" s="118" t="s">
        <v>204</v>
      </c>
      <c r="E9" s="118" t="s">
        <v>4</v>
      </c>
      <c r="F9" s="118">
        <v>12</v>
      </c>
      <c r="G9" s="118" t="s">
        <v>204</v>
      </c>
      <c r="H9" s="118" t="s">
        <v>1872</v>
      </c>
    </row>
    <row r="10" spans="1:8" x14ac:dyDescent="0.35">
      <c r="A10" s="118" t="s">
        <v>1873</v>
      </c>
      <c r="B10" s="118" t="s">
        <v>1870</v>
      </c>
      <c r="C10" s="118" t="s">
        <v>1874</v>
      </c>
      <c r="D10" s="118" t="s">
        <v>192</v>
      </c>
      <c r="E10" s="118" t="s">
        <v>4</v>
      </c>
      <c r="F10" s="118">
        <v>8</v>
      </c>
      <c r="G10" s="118" t="s">
        <v>192</v>
      </c>
      <c r="H10" s="118" t="s">
        <v>1872</v>
      </c>
    </row>
    <row r="11" spans="1:8" x14ac:dyDescent="0.35">
      <c r="A11" s="118" t="s">
        <v>1875</v>
      </c>
      <c r="B11" s="118" t="s">
        <v>1870</v>
      </c>
      <c r="C11" s="118" t="s">
        <v>1876</v>
      </c>
      <c r="D11" s="118" t="s">
        <v>195</v>
      </c>
      <c r="E11" s="118" t="s">
        <v>4</v>
      </c>
      <c r="F11" s="118">
        <v>8</v>
      </c>
      <c r="G11" s="118" t="s">
        <v>195</v>
      </c>
      <c r="H11" s="118" t="s">
        <v>1872</v>
      </c>
    </row>
    <row r="12" spans="1:8" x14ac:dyDescent="0.35">
      <c r="A12" s="118" t="s">
        <v>1877</v>
      </c>
      <c r="B12" s="118" t="s">
        <v>1870</v>
      </c>
      <c r="C12" s="118" t="s">
        <v>1878</v>
      </c>
      <c r="D12" s="118" t="s">
        <v>198</v>
      </c>
      <c r="E12" s="118" t="s">
        <v>4</v>
      </c>
      <c r="F12" s="118">
        <v>9</v>
      </c>
      <c r="G12" s="118" t="s">
        <v>198</v>
      </c>
      <c r="H12" s="118" t="s">
        <v>1872</v>
      </c>
    </row>
    <row r="13" spans="1:8" x14ac:dyDescent="0.35">
      <c r="A13" s="118" t="s">
        <v>1879</v>
      </c>
      <c r="B13" s="118" t="s">
        <v>1870</v>
      </c>
      <c r="C13" s="118" t="s">
        <v>1880</v>
      </c>
      <c r="D13" s="118" t="s">
        <v>201</v>
      </c>
      <c r="E13" s="118" t="s">
        <v>4</v>
      </c>
      <c r="F13" s="118">
        <v>9</v>
      </c>
      <c r="G13" s="118" t="s">
        <v>201</v>
      </c>
      <c r="H13" s="118" t="s">
        <v>1872</v>
      </c>
    </row>
    <row r="14" spans="1:8" ht="24" customHeight="1" x14ac:dyDescent="0.35">
      <c r="A14" s="118" t="s">
        <v>1881</v>
      </c>
      <c r="B14" s="118" t="s">
        <v>1870</v>
      </c>
      <c r="C14" s="118" t="s">
        <v>1882</v>
      </c>
      <c r="D14" s="118" t="s">
        <v>1883</v>
      </c>
      <c r="E14" s="118" t="s">
        <v>4</v>
      </c>
      <c r="F14" s="118">
        <v>10</v>
      </c>
      <c r="G14" s="160" t="s">
        <v>3437</v>
      </c>
      <c r="H14" s="161" t="s">
        <v>3438</v>
      </c>
    </row>
    <row r="15" spans="1:8" ht="72" customHeight="1" x14ac:dyDescent="0.35">
      <c r="A15" s="118" t="s">
        <v>1884</v>
      </c>
      <c r="B15" s="118" t="s">
        <v>1885</v>
      </c>
      <c r="C15" s="118" t="s">
        <v>1866</v>
      </c>
      <c r="D15" s="118" t="s">
        <v>1886</v>
      </c>
      <c r="E15" s="118" t="s">
        <v>1887</v>
      </c>
      <c r="F15" s="118" t="s">
        <v>1888</v>
      </c>
      <c r="G15" s="118" t="s">
        <v>1886</v>
      </c>
      <c r="H15" s="118" t="s">
        <v>1889</v>
      </c>
    </row>
    <row r="16" spans="1:8" ht="24" customHeight="1" x14ac:dyDescent="0.35">
      <c r="A16" s="118" t="s">
        <v>1890</v>
      </c>
      <c r="B16" s="118" t="s">
        <v>1891</v>
      </c>
      <c r="C16" s="118" t="s">
        <v>1871</v>
      </c>
      <c r="D16" s="118" t="s">
        <v>1892</v>
      </c>
      <c r="E16" s="118" t="s">
        <v>4</v>
      </c>
      <c r="F16" s="118">
        <v>47</v>
      </c>
      <c r="G16" s="118" t="s">
        <v>2295</v>
      </c>
      <c r="H16" s="118" t="s">
        <v>1893</v>
      </c>
    </row>
    <row r="17" spans="1:8" ht="24" customHeight="1" x14ac:dyDescent="0.35">
      <c r="A17" s="118" t="s">
        <v>1894</v>
      </c>
      <c r="B17" s="118" t="s">
        <v>1891</v>
      </c>
      <c r="C17" s="118" t="s">
        <v>1874</v>
      </c>
      <c r="D17" s="118" t="s">
        <v>1895</v>
      </c>
      <c r="E17" s="118" t="s">
        <v>4</v>
      </c>
      <c r="F17" s="118">
        <v>51</v>
      </c>
      <c r="G17" s="118" t="s">
        <v>2312</v>
      </c>
      <c r="H17" s="118" t="s">
        <v>1893</v>
      </c>
    </row>
    <row r="18" spans="1:8" ht="24" customHeight="1" x14ac:dyDescent="0.35">
      <c r="A18" s="118" t="s">
        <v>1896</v>
      </c>
      <c r="B18" s="118" t="s">
        <v>1891</v>
      </c>
      <c r="C18" s="118" t="s">
        <v>1876</v>
      </c>
      <c r="D18" s="118" t="s">
        <v>1897</v>
      </c>
      <c r="E18" s="118" t="s">
        <v>4</v>
      </c>
      <c r="F18" s="118">
        <v>51</v>
      </c>
      <c r="G18" s="118" t="s">
        <v>2313</v>
      </c>
      <c r="H18" s="118" t="s">
        <v>1893</v>
      </c>
    </row>
    <row r="19" spans="1:8" ht="24" customHeight="1" x14ac:dyDescent="0.35">
      <c r="A19" s="118" t="s">
        <v>1898</v>
      </c>
      <c r="B19" s="118" t="s">
        <v>1891</v>
      </c>
      <c r="C19" s="118" t="s">
        <v>1878</v>
      </c>
      <c r="D19" s="118" t="s">
        <v>1899</v>
      </c>
      <c r="E19" s="118" t="s">
        <v>4</v>
      </c>
      <c r="F19" s="118">
        <v>58</v>
      </c>
      <c r="G19" s="118" t="s">
        <v>2314</v>
      </c>
      <c r="H19" s="118" t="s">
        <v>1893</v>
      </c>
    </row>
    <row r="20" spans="1:8" ht="24" customHeight="1" x14ac:dyDescent="0.35">
      <c r="A20" s="118" t="s">
        <v>1900</v>
      </c>
      <c r="B20" s="118" t="s">
        <v>1891</v>
      </c>
      <c r="C20" s="118" t="s">
        <v>1880</v>
      </c>
      <c r="D20" s="118" t="s">
        <v>1901</v>
      </c>
      <c r="E20" s="118" t="s">
        <v>4</v>
      </c>
      <c r="F20" s="118">
        <v>55</v>
      </c>
      <c r="G20" s="118" t="s">
        <v>2315</v>
      </c>
      <c r="H20" s="118" t="s">
        <v>1893</v>
      </c>
    </row>
    <row r="21" spans="1:8" ht="24" customHeight="1" x14ac:dyDescent="0.35">
      <c r="A21" s="118" t="s">
        <v>1902</v>
      </c>
      <c r="B21" s="118" t="s">
        <v>1891</v>
      </c>
      <c r="C21" s="118" t="s">
        <v>1882</v>
      </c>
      <c r="D21" s="118" t="s">
        <v>1903</v>
      </c>
      <c r="E21" s="118" t="s">
        <v>4</v>
      </c>
      <c r="F21" s="118">
        <v>54</v>
      </c>
      <c r="G21" s="160" t="s">
        <v>3437</v>
      </c>
      <c r="H21" s="161" t="s">
        <v>3438</v>
      </c>
    </row>
    <row r="22" spans="1:8" x14ac:dyDescent="0.35">
      <c r="A22" s="118" t="s">
        <v>1904</v>
      </c>
      <c r="B22" s="118" t="s">
        <v>1905</v>
      </c>
      <c r="C22" s="118" t="s">
        <v>1866</v>
      </c>
      <c r="D22" s="118" t="s">
        <v>1906</v>
      </c>
      <c r="E22" s="118" t="s">
        <v>4</v>
      </c>
      <c r="F22" s="118">
        <v>14</v>
      </c>
      <c r="G22" s="118" t="s">
        <v>1906</v>
      </c>
      <c r="H22" s="118" t="s">
        <v>1907</v>
      </c>
    </row>
    <row r="23" spans="1:8" x14ac:dyDescent="0.35">
      <c r="A23" s="118" t="s">
        <v>1908</v>
      </c>
      <c r="B23" s="118" t="s">
        <v>1909</v>
      </c>
      <c r="C23" s="118" t="s">
        <v>1910</v>
      </c>
      <c r="D23" s="118" t="s">
        <v>1911</v>
      </c>
      <c r="E23" s="118" t="s">
        <v>4</v>
      </c>
      <c r="F23" s="118" t="s">
        <v>4</v>
      </c>
      <c r="G23" s="118"/>
      <c r="H23" s="118" t="s">
        <v>1912</v>
      </c>
    </row>
    <row r="24" spans="1:8" ht="48" customHeight="1" x14ac:dyDescent="0.35">
      <c r="A24" s="118" t="s">
        <v>1913</v>
      </c>
      <c r="B24" s="118" t="s">
        <v>1914</v>
      </c>
      <c r="C24" s="118" t="s">
        <v>1866</v>
      </c>
      <c r="D24" s="118" t="s">
        <v>1915</v>
      </c>
      <c r="E24" s="118" t="s">
        <v>1916</v>
      </c>
      <c r="F24" s="118" t="s">
        <v>1888</v>
      </c>
      <c r="G24" s="118" t="s">
        <v>1915</v>
      </c>
      <c r="H24" s="118" t="s">
        <v>1917</v>
      </c>
    </row>
    <row r="25" spans="1:8" ht="24" customHeight="1" x14ac:dyDescent="0.35">
      <c r="A25" s="118" t="s">
        <v>1918</v>
      </c>
      <c r="B25" s="118" t="s">
        <v>1919</v>
      </c>
      <c r="C25" s="118" t="s">
        <v>1920</v>
      </c>
      <c r="D25" s="118" t="s">
        <v>1921</v>
      </c>
      <c r="E25" s="118" t="s">
        <v>4</v>
      </c>
      <c r="F25" s="118">
        <v>65</v>
      </c>
      <c r="G25" s="118" t="s">
        <v>2316</v>
      </c>
      <c r="H25" s="118" t="s">
        <v>1922</v>
      </c>
    </row>
    <row r="26" spans="1:8" ht="24" customHeight="1" x14ac:dyDescent="0.35">
      <c r="A26" s="118" t="s">
        <v>1923</v>
      </c>
      <c r="B26" s="118" t="s">
        <v>1919</v>
      </c>
      <c r="C26" s="118" t="s">
        <v>1924</v>
      </c>
      <c r="D26" s="118" t="s">
        <v>1925</v>
      </c>
      <c r="E26" s="118" t="s">
        <v>4</v>
      </c>
      <c r="F26" s="118">
        <v>59</v>
      </c>
      <c r="G26" s="118" t="s">
        <v>2317</v>
      </c>
      <c r="H26" s="118" t="s">
        <v>1922</v>
      </c>
    </row>
    <row r="27" spans="1:8" ht="24" customHeight="1" x14ac:dyDescent="0.35">
      <c r="A27" s="118" t="s">
        <v>1926</v>
      </c>
      <c r="B27" s="118" t="s">
        <v>1919</v>
      </c>
      <c r="C27" s="118" t="s">
        <v>1927</v>
      </c>
      <c r="D27" s="118" t="s">
        <v>1928</v>
      </c>
      <c r="E27" s="118" t="s">
        <v>4</v>
      </c>
      <c r="F27" s="118">
        <v>57</v>
      </c>
      <c r="G27" s="118" t="s">
        <v>2318</v>
      </c>
      <c r="H27" s="118" t="s">
        <v>1922</v>
      </c>
    </row>
    <row r="28" spans="1:8" ht="24" customHeight="1" x14ac:dyDescent="0.35">
      <c r="A28" s="118" t="s">
        <v>1929</v>
      </c>
      <c r="B28" s="118" t="s">
        <v>1919</v>
      </c>
      <c r="C28" s="118" t="s">
        <v>1930</v>
      </c>
      <c r="D28" s="118" t="s">
        <v>1931</v>
      </c>
      <c r="E28" s="118" t="s">
        <v>4</v>
      </c>
      <c r="F28" s="118">
        <v>51</v>
      </c>
      <c r="G28" s="118" t="s">
        <v>2305</v>
      </c>
      <c r="H28" s="118" t="s">
        <v>1922</v>
      </c>
    </row>
    <row r="29" spans="1:8" ht="24" customHeight="1" x14ac:dyDescent="0.35">
      <c r="A29" s="118" t="s">
        <v>1932</v>
      </c>
      <c r="B29" s="118" t="s">
        <v>1919</v>
      </c>
      <c r="C29" s="118" t="s">
        <v>1933</v>
      </c>
      <c r="D29" s="118" t="s">
        <v>1934</v>
      </c>
      <c r="E29" s="118" t="s">
        <v>4</v>
      </c>
      <c r="F29" s="118">
        <v>59</v>
      </c>
      <c r="G29" s="118" t="s">
        <v>2319</v>
      </c>
      <c r="H29" s="118" t="s">
        <v>1922</v>
      </c>
    </row>
    <row r="30" spans="1:8" ht="24" customHeight="1" x14ac:dyDescent="0.35">
      <c r="A30" s="118" t="s">
        <v>1935</v>
      </c>
      <c r="B30" s="118" t="s">
        <v>1919</v>
      </c>
      <c r="C30" s="118" t="s">
        <v>1936</v>
      </c>
      <c r="D30" s="118" t="s">
        <v>1937</v>
      </c>
      <c r="E30" s="118" t="s">
        <v>4</v>
      </c>
      <c r="F30" s="118">
        <v>47</v>
      </c>
      <c r="G30" s="160" t="s">
        <v>3437</v>
      </c>
      <c r="H30" s="161" t="s">
        <v>3438</v>
      </c>
    </row>
    <row r="32" spans="1:8" x14ac:dyDescent="0.35">
      <c r="A32" s="181" t="s">
        <v>1938</v>
      </c>
      <c r="B32" s="182"/>
      <c r="C32" s="182"/>
      <c r="D32" s="182"/>
      <c r="E32" s="182"/>
      <c r="F32" s="182"/>
      <c r="G32" s="182"/>
      <c r="H32" s="182"/>
    </row>
    <row r="33" spans="1:8" ht="35" customHeight="1" x14ac:dyDescent="0.35">
      <c r="A33" s="192" t="s">
        <v>1939</v>
      </c>
      <c r="B33" s="182"/>
      <c r="C33" s="182"/>
      <c r="D33" s="182"/>
      <c r="E33" s="182"/>
      <c r="F33" s="182"/>
      <c r="G33" s="182"/>
      <c r="H33" s="182"/>
    </row>
    <row r="34" spans="1:8" x14ac:dyDescent="0.35">
      <c r="A34" s="119" t="s">
        <v>1857</v>
      </c>
      <c r="B34" s="119" t="s">
        <v>1940</v>
      </c>
      <c r="C34" s="119" t="s">
        <v>1859</v>
      </c>
      <c r="D34" s="119" t="s">
        <v>1860</v>
      </c>
      <c r="E34" s="119" t="s">
        <v>1861</v>
      </c>
      <c r="F34" s="119" t="s">
        <v>1862</v>
      </c>
      <c r="G34" s="119" t="s">
        <v>1863</v>
      </c>
      <c r="H34" s="119" t="s">
        <v>3</v>
      </c>
    </row>
    <row r="35" spans="1:8" ht="24" customHeight="1" x14ac:dyDescent="0.35">
      <c r="A35" s="118" t="s">
        <v>1941</v>
      </c>
      <c r="B35" s="118" t="s">
        <v>1942</v>
      </c>
      <c r="C35" s="118" t="s">
        <v>1866</v>
      </c>
      <c r="D35" s="118" t="s">
        <v>1943</v>
      </c>
      <c r="E35" s="118" t="s">
        <v>1944</v>
      </c>
      <c r="F35" s="118">
        <v>84</v>
      </c>
      <c r="G35" s="118" t="s">
        <v>2296</v>
      </c>
      <c r="H35" s="118" t="s">
        <v>1945</v>
      </c>
    </row>
    <row r="36" spans="1:8" ht="24" customHeight="1" x14ac:dyDescent="0.35">
      <c r="A36" s="118" t="s">
        <v>1946</v>
      </c>
      <c r="B36" s="118" t="s">
        <v>1947</v>
      </c>
      <c r="C36" s="118" t="s">
        <v>1866</v>
      </c>
      <c r="D36" s="118" t="s">
        <v>1948</v>
      </c>
      <c r="E36" s="118" t="s">
        <v>1949</v>
      </c>
      <c r="F36" s="118">
        <v>59</v>
      </c>
      <c r="G36" s="118" t="s">
        <v>2297</v>
      </c>
      <c r="H36" s="118" t="s">
        <v>1950</v>
      </c>
    </row>
    <row r="37" spans="1:8" ht="24" customHeight="1" x14ac:dyDescent="0.35">
      <c r="A37" s="118" t="s">
        <v>1951</v>
      </c>
      <c r="B37" s="118" t="s">
        <v>1952</v>
      </c>
      <c r="C37" s="118" t="s">
        <v>1866</v>
      </c>
      <c r="D37" s="118" t="s">
        <v>1953</v>
      </c>
      <c r="E37" s="118" t="s">
        <v>1954</v>
      </c>
      <c r="F37" s="118">
        <v>94</v>
      </c>
      <c r="G37" s="118" t="s">
        <v>2298</v>
      </c>
      <c r="H37" s="118" t="s">
        <v>1955</v>
      </c>
    </row>
    <row r="38" spans="1:8" x14ac:dyDescent="0.35">
      <c r="A38" s="118" t="s">
        <v>1956</v>
      </c>
      <c r="B38" s="118" t="s">
        <v>1957</v>
      </c>
      <c r="C38" s="118" t="s">
        <v>1866</v>
      </c>
      <c r="D38" s="118" t="s">
        <v>1958</v>
      </c>
      <c r="E38" s="118" t="s">
        <v>4</v>
      </c>
      <c r="F38" s="118">
        <v>62</v>
      </c>
      <c r="G38" s="118" t="s">
        <v>2299</v>
      </c>
      <c r="H38" s="118" t="s">
        <v>1959</v>
      </c>
    </row>
    <row r="41" spans="1:8" x14ac:dyDescent="0.35">
      <c r="A41" s="193" t="s">
        <v>1960</v>
      </c>
      <c r="B41" s="182"/>
      <c r="C41" s="182"/>
      <c r="D41" s="182"/>
      <c r="E41" s="182"/>
      <c r="F41" s="182"/>
      <c r="G41" s="182"/>
      <c r="H41" s="182"/>
    </row>
    <row r="42" spans="1:8" ht="35" customHeight="1" x14ac:dyDescent="0.35">
      <c r="A42" s="194" t="s">
        <v>1961</v>
      </c>
      <c r="B42" s="182"/>
      <c r="C42" s="182"/>
      <c r="D42" s="182"/>
      <c r="E42" s="182"/>
      <c r="F42" s="182"/>
      <c r="G42" s="182"/>
      <c r="H42" s="182"/>
    </row>
    <row r="43" spans="1:8" x14ac:dyDescent="0.35">
      <c r="A43" s="120" t="s">
        <v>1857</v>
      </c>
      <c r="B43" s="120" t="s">
        <v>1940</v>
      </c>
      <c r="C43" s="120" t="s">
        <v>1859</v>
      </c>
      <c r="D43" s="120" t="s">
        <v>1860</v>
      </c>
      <c r="E43" s="120" t="s">
        <v>1861</v>
      </c>
      <c r="F43" s="120" t="s">
        <v>1862</v>
      </c>
      <c r="G43" s="120" t="s">
        <v>1863</v>
      </c>
      <c r="H43" s="120" t="s">
        <v>3</v>
      </c>
    </row>
    <row r="44" spans="1:8" ht="36" customHeight="1" x14ac:dyDescent="0.35">
      <c r="A44" s="118" t="s">
        <v>1962</v>
      </c>
      <c r="B44" s="118" t="s">
        <v>1963</v>
      </c>
      <c r="C44" s="118" t="s">
        <v>1866</v>
      </c>
      <c r="D44" s="118" t="s">
        <v>1964</v>
      </c>
      <c r="E44" s="118" t="s">
        <v>1965</v>
      </c>
      <c r="F44" s="118">
        <v>215</v>
      </c>
      <c r="G44" s="118" t="s">
        <v>2320</v>
      </c>
      <c r="H44" s="118" t="s">
        <v>1966</v>
      </c>
    </row>
    <row r="45" spans="1:8" x14ac:dyDescent="0.35">
      <c r="A45" s="118" t="s">
        <v>1967</v>
      </c>
      <c r="B45" s="118" t="s">
        <v>1968</v>
      </c>
      <c r="C45" s="118" t="s">
        <v>1866</v>
      </c>
      <c r="D45" s="118" t="s">
        <v>1969</v>
      </c>
      <c r="E45" s="118" t="s">
        <v>4</v>
      </c>
      <c r="F45" s="118">
        <v>46</v>
      </c>
      <c r="G45" s="118" t="s">
        <v>2301</v>
      </c>
      <c r="H45" s="118" t="s">
        <v>1970</v>
      </c>
    </row>
    <row r="46" spans="1:8" ht="24" customHeight="1" x14ac:dyDescent="0.35">
      <c r="A46" s="118" t="s">
        <v>1971</v>
      </c>
      <c r="B46" s="118" t="s">
        <v>1972</v>
      </c>
      <c r="C46" s="118" t="s">
        <v>1866</v>
      </c>
      <c r="D46" s="118" t="s">
        <v>1973</v>
      </c>
      <c r="E46" s="118" t="s">
        <v>1974</v>
      </c>
      <c r="F46" s="118">
        <v>97</v>
      </c>
      <c r="G46" s="118" t="s">
        <v>2302</v>
      </c>
      <c r="H46" s="118" t="s">
        <v>1975</v>
      </c>
    </row>
    <row r="47" spans="1:8" ht="24" customHeight="1" x14ac:dyDescent="0.35">
      <c r="A47" s="118" t="s">
        <v>1976</v>
      </c>
      <c r="B47" s="118" t="s">
        <v>1977</v>
      </c>
      <c r="C47" s="118" t="s">
        <v>1866</v>
      </c>
      <c r="D47" s="118" t="s">
        <v>1978</v>
      </c>
      <c r="E47" s="118" t="s">
        <v>1979</v>
      </c>
      <c r="F47" s="118">
        <v>94</v>
      </c>
      <c r="G47" s="118" t="s">
        <v>2303</v>
      </c>
      <c r="H47" s="118" t="s">
        <v>1980</v>
      </c>
    </row>
    <row r="48" spans="1:8" ht="24" customHeight="1" x14ac:dyDescent="0.35">
      <c r="A48" s="118" t="s">
        <v>1981</v>
      </c>
      <c r="B48" s="118" t="s">
        <v>1982</v>
      </c>
      <c r="C48" s="118" t="s">
        <v>1871</v>
      </c>
      <c r="D48" s="118" t="s">
        <v>1983</v>
      </c>
      <c r="E48" s="118" t="s">
        <v>1984</v>
      </c>
      <c r="F48" s="118">
        <v>82</v>
      </c>
      <c r="G48" s="118" t="s">
        <v>2321</v>
      </c>
      <c r="H48" s="118" t="s">
        <v>1985</v>
      </c>
    </row>
    <row r="49" spans="1:8" ht="14.5" customHeight="1" x14ac:dyDescent="0.35">
      <c r="A49" s="118" t="s">
        <v>1986</v>
      </c>
      <c r="B49" s="118" t="s">
        <v>1982</v>
      </c>
      <c r="C49" s="118" t="s">
        <v>1874</v>
      </c>
      <c r="D49" s="118" t="s">
        <v>1987</v>
      </c>
      <c r="E49" s="118" t="s">
        <v>1984</v>
      </c>
      <c r="F49" s="118">
        <v>84</v>
      </c>
      <c r="G49" s="118" t="s">
        <v>2322</v>
      </c>
      <c r="H49" s="118" t="s">
        <v>1988</v>
      </c>
    </row>
    <row r="50" spans="1:8" ht="24" customHeight="1" x14ac:dyDescent="0.35">
      <c r="A50" s="118" t="s">
        <v>1989</v>
      </c>
      <c r="B50" s="118" t="s">
        <v>1982</v>
      </c>
      <c r="C50" s="118" t="s">
        <v>1876</v>
      </c>
      <c r="D50" s="118" t="s">
        <v>1990</v>
      </c>
      <c r="E50" s="118" t="s">
        <v>1984</v>
      </c>
      <c r="F50" s="118">
        <v>100</v>
      </c>
      <c r="G50" s="118" t="s">
        <v>2323</v>
      </c>
      <c r="H50" s="118" t="s">
        <v>1991</v>
      </c>
    </row>
    <row r="51" spans="1:8" ht="24" customHeight="1" x14ac:dyDescent="0.35">
      <c r="A51" s="118" t="s">
        <v>1992</v>
      </c>
      <c r="B51" s="118" t="s">
        <v>1982</v>
      </c>
      <c r="C51" s="118" t="s">
        <v>1878</v>
      </c>
      <c r="D51" s="118" t="s">
        <v>1993</v>
      </c>
      <c r="E51" s="118" t="s">
        <v>1984</v>
      </c>
      <c r="F51" s="118">
        <v>80</v>
      </c>
      <c r="G51" s="118" t="s">
        <v>2324</v>
      </c>
      <c r="H51" s="118" t="s">
        <v>1994</v>
      </c>
    </row>
    <row r="52" spans="1:8" ht="14.5" customHeight="1" x14ac:dyDescent="0.35">
      <c r="A52" s="118" t="s">
        <v>1995</v>
      </c>
      <c r="B52" s="118" t="s">
        <v>1982</v>
      </c>
      <c r="C52" s="118" t="s">
        <v>1880</v>
      </c>
      <c r="D52" s="118" t="s">
        <v>1996</v>
      </c>
      <c r="E52" s="118" t="s">
        <v>1984</v>
      </c>
      <c r="F52" s="118">
        <v>96</v>
      </c>
      <c r="G52" s="118" t="s">
        <v>2325</v>
      </c>
      <c r="H52" s="118" t="s">
        <v>1997</v>
      </c>
    </row>
    <row r="53" spans="1:8" ht="24" customHeight="1" x14ac:dyDescent="0.35">
      <c r="A53" s="118" t="s">
        <v>1998</v>
      </c>
      <c r="B53" s="118" t="s">
        <v>1982</v>
      </c>
      <c r="C53" s="118" t="s">
        <v>1882</v>
      </c>
      <c r="D53" s="118" t="s">
        <v>1999</v>
      </c>
      <c r="E53" s="118" t="s">
        <v>1984</v>
      </c>
      <c r="F53" s="118">
        <v>79</v>
      </c>
      <c r="G53" s="160" t="s">
        <v>3437</v>
      </c>
      <c r="H53" s="161" t="s">
        <v>3438</v>
      </c>
    </row>
    <row r="54" spans="1:8" ht="24" customHeight="1" x14ac:dyDescent="0.35">
      <c r="A54" s="118" t="s">
        <v>2000</v>
      </c>
      <c r="B54" s="118" t="s">
        <v>2001</v>
      </c>
      <c r="C54" s="118" t="s">
        <v>1866</v>
      </c>
      <c r="D54" s="118" t="s">
        <v>2002</v>
      </c>
      <c r="E54" s="118" t="s">
        <v>4</v>
      </c>
      <c r="F54" s="118">
        <v>65</v>
      </c>
      <c r="G54" s="118" t="s">
        <v>2304</v>
      </c>
      <c r="H54" s="118" t="s">
        <v>2003</v>
      </c>
    </row>
    <row r="57" spans="1:8" x14ac:dyDescent="0.35">
      <c r="A57" s="195" t="s">
        <v>2004</v>
      </c>
      <c r="B57" s="182"/>
      <c r="C57" s="182"/>
      <c r="D57" s="182"/>
      <c r="E57" s="182"/>
      <c r="F57" s="182"/>
      <c r="G57" s="182"/>
      <c r="H57" s="182"/>
    </row>
    <row r="58" spans="1:8" ht="35" customHeight="1" x14ac:dyDescent="0.35">
      <c r="A58" s="196" t="s">
        <v>2005</v>
      </c>
      <c r="B58" s="182"/>
      <c r="C58" s="182"/>
      <c r="D58" s="182"/>
      <c r="E58" s="182"/>
      <c r="F58" s="182"/>
      <c r="G58" s="182"/>
      <c r="H58" s="182"/>
    </row>
    <row r="59" spans="1:8" x14ac:dyDescent="0.35">
      <c r="A59" s="121" t="s">
        <v>1857</v>
      </c>
      <c r="B59" s="121" t="s">
        <v>1940</v>
      </c>
      <c r="C59" s="121" t="s">
        <v>1859</v>
      </c>
      <c r="D59" s="121" t="s">
        <v>1860</v>
      </c>
      <c r="E59" s="121" t="s">
        <v>1861</v>
      </c>
      <c r="F59" s="121" t="s">
        <v>1862</v>
      </c>
      <c r="G59" s="121" t="s">
        <v>1863</v>
      </c>
      <c r="H59" s="121" t="s">
        <v>3</v>
      </c>
    </row>
    <row r="60" spans="1:8" ht="24" customHeight="1" x14ac:dyDescent="0.35">
      <c r="A60" s="118" t="s">
        <v>2006</v>
      </c>
      <c r="B60" s="118" t="s">
        <v>2007</v>
      </c>
      <c r="C60" s="118" t="s">
        <v>1866</v>
      </c>
      <c r="D60" s="118" t="s">
        <v>2008</v>
      </c>
      <c r="E60" s="118" t="s">
        <v>4</v>
      </c>
      <c r="F60" s="118">
        <v>32</v>
      </c>
      <c r="G60" s="118" t="s">
        <v>2326</v>
      </c>
      <c r="H60" s="118" t="s">
        <v>2009</v>
      </c>
    </row>
    <row r="61" spans="1:8" ht="24" customHeight="1" x14ac:dyDescent="0.35">
      <c r="A61" s="118" t="s">
        <v>2010</v>
      </c>
      <c r="B61" s="118" t="s">
        <v>2011</v>
      </c>
      <c r="C61" s="118" t="s">
        <v>1866</v>
      </c>
      <c r="D61" s="118" t="s">
        <v>2012</v>
      </c>
      <c r="E61" s="118" t="s">
        <v>2013</v>
      </c>
      <c r="F61" s="118" t="s">
        <v>2014</v>
      </c>
      <c r="G61" s="118" t="s">
        <v>2307</v>
      </c>
      <c r="H61" s="118" t="s">
        <v>2015</v>
      </c>
    </row>
    <row r="62" spans="1:8" ht="24" customHeight="1" x14ac:dyDescent="0.35">
      <c r="A62" s="118" t="s">
        <v>2016</v>
      </c>
      <c r="B62" s="118" t="s">
        <v>2017</v>
      </c>
      <c r="C62" s="118" t="s">
        <v>1866</v>
      </c>
      <c r="D62" s="118" t="s">
        <v>2018</v>
      </c>
      <c r="E62" s="118" t="s">
        <v>2019</v>
      </c>
      <c r="F62" s="118" t="s">
        <v>2020</v>
      </c>
      <c r="G62" s="118" t="s">
        <v>2018</v>
      </c>
      <c r="H62" s="118" t="s">
        <v>2021</v>
      </c>
    </row>
    <row r="63" spans="1:8" x14ac:dyDescent="0.35">
      <c r="A63" s="118" t="s">
        <v>2022</v>
      </c>
      <c r="B63" s="118" t="s">
        <v>2023</v>
      </c>
      <c r="C63" s="118" t="s">
        <v>1866</v>
      </c>
      <c r="D63" s="118" t="s">
        <v>2024</v>
      </c>
      <c r="E63" s="118" t="s">
        <v>2025</v>
      </c>
      <c r="F63" s="118" t="s">
        <v>2026</v>
      </c>
      <c r="G63" s="118" t="s">
        <v>2024</v>
      </c>
      <c r="H63" s="118" t="s">
        <v>2027</v>
      </c>
    </row>
    <row r="64" spans="1:8" ht="36" customHeight="1" x14ac:dyDescent="0.35">
      <c r="A64" s="118" t="s">
        <v>2028</v>
      </c>
      <c r="B64" s="118" t="s">
        <v>2029</v>
      </c>
      <c r="C64" s="118" t="s">
        <v>1920</v>
      </c>
      <c r="D64" s="118" t="s">
        <v>2030</v>
      </c>
      <c r="E64" s="118" t="s">
        <v>2031</v>
      </c>
      <c r="F64" s="118">
        <v>234</v>
      </c>
      <c r="G64" s="118" t="s">
        <v>2308</v>
      </c>
      <c r="H64" s="118" t="s">
        <v>2032</v>
      </c>
    </row>
    <row r="65" spans="1:8" ht="36" customHeight="1" x14ac:dyDescent="0.35">
      <c r="A65" s="118" t="s">
        <v>2033</v>
      </c>
      <c r="B65" s="118" t="s">
        <v>2029</v>
      </c>
      <c r="C65" s="118" t="s">
        <v>1924</v>
      </c>
      <c r="D65" s="118" t="s">
        <v>2300</v>
      </c>
      <c r="E65" s="118" t="s">
        <v>2031</v>
      </c>
      <c r="F65" s="118" t="s">
        <v>2034</v>
      </c>
      <c r="G65" s="118" t="s">
        <v>2327</v>
      </c>
      <c r="H65" s="118" t="s">
        <v>2035</v>
      </c>
    </row>
    <row r="66" spans="1:8" ht="24" customHeight="1" x14ac:dyDescent="0.35">
      <c r="A66" s="118" t="s">
        <v>2036</v>
      </c>
      <c r="B66" s="118" t="s">
        <v>2029</v>
      </c>
      <c r="C66" s="118" t="s">
        <v>1927</v>
      </c>
      <c r="D66" s="118" t="s">
        <v>2037</v>
      </c>
      <c r="E66" s="118" t="s">
        <v>2038</v>
      </c>
      <c r="F66" s="118" t="s">
        <v>2039</v>
      </c>
      <c r="G66" s="118" t="s">
        <v>2309</v>
      </c>
      <c r="H66" s="118" t="s">
        <v>2040</v>
      </c>
    </row>
    <row r="67" spans="1:8" ht="36" customHeight="1" x14ac:dyDescent="0.35">
      <c r="A67" s="118" t="s">
        <v>2041</v>
      </c>
      <c r="B67" s="118" t="s">
        <v>2029</v>
      </c>
      <c r="C67" s="118" t="s">
        <v>1930</v>
      </c>
      <c r="D67" s="118" t="s">
        <v>2042</v>
      </c>
      <c r="E67" s="118" t="s">
        <v>2043</v>
      </c>
      <c r="F67" s="118" t="s">
        <v>2044</v>
      </c>
      <c r="G67" s="118" t="s">
        <v>2328</v>
      </c>
      <c r="H67" s="118" t="s">
        <v>2045</v>
      </c>
    </row>
    <row r="68" spans="1:8" ht="36" customHeight="1" x14ac:dyDescent="0.35">
      <c r="A68" s="118" t="s">
        <v>2046</v>
      </c>
      <c r="B68" s="118" t="s">
        <v>2029</v>
      </c>
      <c r="C68" s="118" t="s">
        <v>1933</v>
      </c>
      <c r="D68" s="118" t="s">
        <v>2047</v>
      </c>
      <c r="E68" s="118" t="s">
        <v>2048</v>
      </c>
      <c r="F68" s="118" t="s">
        <v>2049</v>
      </c>
      <c r="G68" s="118" t="s">
        <v>2329</v>
      </c>
      <c r="H68" s="118" t="s">
        <v>2050</v>
      </c>
    </row>
    <row r="69" spans="1:8" ht="24" customHeight="1" x14ac:dyDescent="0.35">
      <c r="A69" s="118" t="s">
        <v>2051</v>
      </c>
      <c r="B69" s="118" t="s">
        <v>2029</v>
      </c>
      <c r="C69" s="118" t="s">
        <v>1936</v>
      </c>
      <c r="D69" s="118" t="s">
        <v>2306</v>
      </c>
      <c r="E69" s="118" t="s">
        <v>2052</v>
      </c>
      <c r="F69" s="118" t="s">
        <v>2053</v>
      </c>
      <c r="G69" s="160" t="s">
        <v>3437</v>
      </c>
      <c r="H69" s="161" t="s">
        <v>3438</v>
      </c>
    </row>
    <row r="70" spans="1:8" ht="36" customHeight="1" x14ac:dyDescent="0.35">
      <c r="A70" s="118" t="s">
        <v>2054</v>
      </c>
      <c r="B70" s="118" t="s">
        <v>2055</v>
      </c>
      <c r="C70" s="118" t="s">
        <v>1920</v>
      </c>
      <c r="D70" s="118" t="s">
        <v>2056</v>
      </c>
      <c r="E70" s="118" t="s">
        <v>4</v>
      </c>
      <c r="F70" s="118">
        <v>151</v>
      </c>
      <c r="G70" s="118" t="s">
        <v>2338</v>
      </c>
      <c r="H70" s="118" t="s">
        <v>2057</v>
      </c>
    </row>
    <row r="71" spans="1:8" ht="36" customHeight="1" x14ac:dyDescent="0.35">
      <c r="A71" s="118" t="s">
        <v>2058</v>
      </c>
      <c r="B71" s="118" t="s">
        <v>2055</v>
      </c>
      <c r="C71" s="118" t="s">
        <v>1924</v>
      </c>
      <c r="D71" s="118" t="s">
        <v>2059</v>
      </c>
      <c r="E71" s="118" t="s">
        <v>4</v>
      </c>
      <c r="F71" s="118">
        <v>98</v>
      </c>
      <c r="G71" s="158" t="s">
        <v>3439</v>
      </c>
      <c r="H71" s="118" t="s">
        <v>2060</v>
      </c>
    </row>
    <row r="72" spans="1:8" ht="36" customHeight="1" x14ac:dyDescent="0.35">
      <c r="A72" s="118" t="s">
        <v>2061</v>
      </c>
      <c r="B72" s="118" t="s">
        <v>2055</v>
      </c>
      <c r="C72" s="118" t="s">
        <v>1927</v>
      </c>
      <c r="D72" s="118" t="s">
        <v>2062</v>
      </c>
      <c r="E72" s="118" t="s">
        <v>4</v>
      </c>
      <c r="F72" s="118">
        <v>100</v>
      </c>
      <c r="G72" s="158" t="s">
        <v>3440</v>
      </c>
      <c r="H72" s="118" t="s">
        <v>2063</v>
      </c>
    </row>
    <row r="73" spans="1:8" ht="36" customHeight="1" x14ac:dyDescent="0.35">
      <c r="A73" s="118" t="s">
        <v>2064</v>
      </c>
      <c r="B73" s="118" t="s">
        <v>2055</v>
      </c>
      <c r="C73" s="118" t="s">
        <v>1930</v>
      </c>
      <c r="D73" s="118" t="s">
        <v>2065</v>
      </c>
      <c r="E73" s="118" t="s">
        <v>4</v>
      </c>
      <c r="F73" s="118">
        <v>100</v>
      </c>
      <c r="G73" s="158" t="s">
        <v>3441</v>
      </c>
      <c r="H73" s="118" t="s">
        <v>2066</v>
      </c>
    </row>
    <row r="74" spans="1:8" ht="36" customHeight="1" x14ac:dyDescent="0.35">
      <c r="A74" s="118" t="s">
        <v>2067</v>
      </c>
      <c r="B74" s="118" t="s">
        <v>2055</v>
      </c>
      <c r="C74" s="118" t="s">
        <v>1933</v>
      </c>
      <c r="D74" s="118" t="s">
        <v>2068</v>
      </c>
      <c r="E74" s="118" t="s">
        <v>4</v>
      </c>
      <c r="F74" s="118">
        <v>112</v>
      </c>
      <c r="G74" s="158" t="s">
        <v>3442</v>
      </c>
      <c r="H74" s="118" t="s">
        <v>2069</v>
      </c>
    </row>
    <row r="75" spans="1:8" ht="24" customHeight="1" x14ac:dyDescent="0.35">
      <c r="A75" s="118" t="s">
        <v>2070</v>
      </c>
      <c r="B75" s="118" t="s">
        <v>2055</v>
      </c>
      <c r="C75" s="118" t="s">
        <v>1936</v>
      </c>
      <c r="D75" s="118" t="s">
        <v>2071</v>
      </c>
      <c r="E75" s="118" t="s">
        <v>4</v>
      </c>
      <c r="F75" s="118">
        <v>101</v>
      </c>
      <c r="G75" s="160" t="s">
        <v>3437</v>
      </c>
      <c r="H75" s="161" t="s">
        <v>3438</v>
      </c>
    </row>
    <row r="76" spans="1:8" ht="36" customHeight="1" x14ac:dyDescent="0.35">
      <c r="A76" s="118" t="s">
        <v>2072</v>
      </c>
      <c r="B76" s="118" t="s">
        <v>2073</v>
      </c>
      <c r="C76" s="118" t="s">
        <v>2074</v>
      </c>
      <c r="D76" s="118" t="s">
        <v>2075</v>
      </c>
      <c r="E76" s="118" t="s">
        <v>4</v>
      </c>
      <c r="F76" s="118">
        <v>163</v>
      </c>
      <c r="G76" s="118" t="s">
        <v>2310</v>
      </c>
      <c r="H76" s="118" t="s">
        <v>2076</v>
      </c>
    </row>
    <row r="77" spans="1:8" ht="36" customHeight="1" x14ac:dyDescent="0.35">
      <c r="A77" s="118" t="s">
        <v>2077</v>
      </c>
      <c r="B77" s="118" t="s">
        <v>2078</v>
      </c>
      <c r="C77" s="118" t="s">
        <v>2079</v>
      </c>
      <c r="D77" s="118" t="s">
        <v>2080</v>
      </c>
      <c r="E77" s="118" t="s">
        <v>2081</v>
      </c>
      <c r="F77" s="118" t="s">
        <v>2082</v>
      </c>
      <c r="G77" s="118" t="s">
        <v>2333</v>
      </c>
      <c r="H77" s="118" t="s">
        <v>2083</v>
      </c>
    </row>
    <row r="78" spans="1:8" ht="36" customHeight="1" x14ac:dyDescent="0.35">
      <c r="A78" s="118" t="s">
        <v>2084</v>
      </c>
      <c r="B78" s="118" t="s">
        <v>2085</v>
      </c>
      <c r="C78" s="118" t="s">
        <v>1866</v>
      </c>
      <c r="D78" s="118" t="s">
        <v>2086</v>
      </c>
      <c r="E78" s="118" t="s">
        <v>2087</v>
      </c>
      <c r="F78" s="118" t="s">
        <v>2088</v>
      </c>
      <c r="G78" s="118" t="s">
        <v>2311</v>
      </c>
      <c r="H78" s="118" t="s">
        <v>2089</v>
      </c>
    </row>
    <row r="81" spans="1:8" x14ac:dyDescent="0.35">
      <c r="A81" s="197" t="s">
        <v>2090</v>
      </c>
      <c r="B81" s="182"/>
      <c r="C81" s="182"/>
      <c r="D81" s="182"/>
      <c r="E81" s="182"/>
      <c r="F81" s="182"/>
      <c r="G81" s="182"/>
      <c r="H81" s="182"/>
    </row>
    <row r="82" spans="1:8" ht="35" customHeight="1" x14ac:dyDescent="0.35">
      <c r="A82" s="188" t="s">
        <v>2091</v>
      </c>
      <c r="B82" s="182"/>
      <c r="C82" s="182"/>
      <c r="D82" s="182"/>
      <c r="E82" s="182"/>
      <c r="F82" s="182"/>
      <c r="G82" s="182"/>
      <c r="H82" s="182"/>
    </row>
    <row r="83" spans="1:8" x14ac:dyDescent="0.35">
      <c r="A83" s="122" t="s">
        <v>1857</v>
      </c>
      <c r="B83" s="122" t="s">
        <v>1940</v>
      </c>
      <c r="C83" s="122" t="s">
        <v>1859</v>
      </c>
      <c r="D83" s="122" t="s">
        <v>1860</v>
      </c>
      <c r="E83" s="122" t="s">
        <v>1861</v>
      </c>
      <c r="F83" s="122" t="s">
        <v>1862</v>
      </c>
      <c r="G83" s="122" t="s">
        <v>1863</v>
      </c>
      <c r="H83" s="122" t="s">
        <v>3</v>
      </c>
    </row>
    <row r="84" spans="1:8" ht="48" customHeight="1" x14ac:dyDescent="0.35">
      <c r="A84" s="118" t="s">
        <v>2092</v>
      </c>
      <c r="B84" s="118" t="s">
        <v>2093</v>
      </c>
      <c r="C84" s="118" t="s">
        <v>2079</v>
      </c>
      <c r="D84" s="118" t="s">
        <v>2094</v>
      </c>
      <c r="E84" s="118" t="s">
        <v>2095</v>
      </c>
      <c r="F84" s="118" t="s">
        <v>2096</v>
      </c>
      <c r="G84" s="126" t="s">
        <v>2330</v>
      </c>
      <c r="H84" s="118" t="s">
        <v>2097</v>
      </c>
    </row>
    <row r="85" spans="1:8" ht="36" customHeight="1" x14ac:dyDescent="0.35">
      <c r="A85" s="118" t="s">
        <v>2098</v>
      </c>
      <c r="B85" s="118" t="s">
        <v>2099</v>
      </c>
      <c r="C85" s="118" t="s">
        <v>2100</v>
      </c>
      <c r="D85" s="118" t="s">
        <v>2101</v>
      </c>
      <c r="E85" s="118" t="s">
        <v>4</v>
      </c>
      <c r="F85" s="118" t="s">
        <v>2102</v>
      </c>
      <c r="G85" s="118" t="s">
        <v>2337</v>
      </c>
      <c r="H85" s="118" t="s">
        <v>2103</v>
      </c>
    </row>
    <row r="86" spans="1:8" ht="36" customHeight="1" x14ac:dyDescent="0.35">
      <c r="A86" s="118" t="s">
        <v>2104</v>
      </c>
      <c r="B86" s="118" t="s">
        <v>2105</v>
      </c>
      <c r="C86" s="118" t="s">
        <v>1924</v>
      </c>
      <c r="D86" s="118" t="s">
        <v>2106</v>
      </c>
      <c r="E86" s="118" t="s">
        <v>4</v>
      </c>
      <c r="F86" s="118" t="s">
        <v>2107</v>
      </c>
      <c r="G86" s="126" t="s">
        <v>2331</v>
      </c>
      <c r="H86" s="118" t="s">
        <v>2108</v>
      </c>
    </row>
    <row r="87" spans="1:8" ht="36" customHeight="1" x14ac:dyDescent="0.35">
      <c r="A87" s="118" t="s">
        <v>2109</v>
      </c>
      <c r="B87" s="118" t="s">
        <v>2105</v>
      </c>
      <c r="C87" s="118" t="s">
        <v>1927</v>
      </c>
      <c r="D87" s="118" t="s">
        <v>2110</v>
      </c>
      <c r="E87" s="118" t="s">
        <v>4</v>
      </c>
      <c r="F87" s="118" t="s">
        <v>2111</v>
      </c>
      <c r="G87" s="118" t="s">
        <v>2334</v>
      </c>
      <c r="H87" s="118" t="s">
        <v>2112</v>
      </c>
    </row>
    <row r="88" spans="1:8" ht="36" customHeight="1" x14ac:dyDescent="0.35">
      <c r="A88" s="118" t="s">
        <v>2113</v>
      </c>
      <c r="B88" s="118" t="s">
        <v>2105</v>
      </c>
      <c r="C88" s="118" t="s">
        <v>1930</v>
      </c>
      <c r="D88" s="118" t="s">
        <v>2114</v>
      </c>
      <c r="E88" s="118" t="s">
        <v>4</v>
      </c>
      <c r="F88" s="118" t="s">
        <v>2107</v>
      </c>
      <c r="G88" s="118" t="s">
        <v>2335</v>
      </c>
      <c r="H88" s="118" t="s">
        <v>2115</v>
      </c>
    </row>
    <row r="89" spans="1:8" ht="36" customHeight="1" x14ac:dyDescent="0.35">
      <c r="A89" s="118" t="s">
        <v>2116</v>
      </c>
      <c r="B89" s="118" t="s">
        <v>2105</v>
      </c>
      <c r="C89" s="118" t="s">
        <v>1933</v>
      </c>
      <c r="D89" s="118" t="s">
        <v>2117</v>
      </c>
      <c r="E89" s="118" t="s">
        <v>4</v>
      </c>
      <c r="F89" s="118" t="s">
        <v>2102</v>
      </c>
      <c r="G89" s="118" t="s">
        <v>2336</v>
      </c>
      <c r="H89" s="118" t="s">
        <v>2118</v>
      </c>
    </row>
    <row r="90" spans="1:8" ht="36" customHeight="1" x14ac:dyDescent="0.35">
      <c r="A90" s="118" t="s">
        <v>2119</v>
      </c>
      <c r="B90" s="118" t="s">
        <v>2105</v>
      </c>
      <c r="C90" s="118" t="s">
        <v>1936</v>
      </c>
      <c r="D90" s="118" t="s">
        <v>2120</v>
      </c>
      <c r="E90" s="118" t="s">
        <v>4</v>
      </c>
      <c r="F90" s="118" t="s">
        <v>2121</v>
      </c>
      <c r="G90" s="160" t="s">
        <v>3437</v>
      </c>
      <c r="H90" s="161" t="s">
        <v>3438</v>
      </c>
    </row>
    <row r="91" spans="1:8" ht="48" customHeight="1" x14ac:dyDescent="0.35">
      <c r="A91" s="118" t="s">
        <v>2122</v>
      </c>
      <c r="B91" s="118" t="s">
        <v>2123</v>
      </c>
      <c r="C91" s="118" t="s">
        <v>1866</v>
      </c>
      <c r="D91" s="118" t="s">
        <v>2124</v>
      </c>
      <c r="E91" s="118" t="s">
        <v>4</v>
      </c>
      <c r="F91" s="118" t="s">
        <v>2125</v>
      </c>
      <c r="G91" s="118" t="s">
        <v>2332</v>
      </c>
      <c r="H91" s="118" t="s">
        <v>2126</v>
      </c>
    </row>
    <row r="92" spans="1:8" ht="24" x14ac:dyDescent="0.35">
      <c r="A92" s="118" t="s">
        <v>2127</v>
      </c>
      <c r="B92" s="118" t="s">
        <v>2128</v>
      </c>
      <c r="C92" s="118" t="s">
        <v>1866</v>
      </c>
      <c r="D92" s="118" t="s">
        <v>2129</v>
      </c>
      <c r="E92" s="118" t="s">
        <v>4</v>
      </c>
      <c r="F92" s="118">
        <v>62</v>
      </c>
      <c r="G92" s="118" t="s">
        <v>2129</v>
      </c>
      <c r="H92" s="118" t="s">
        <v>2130</v>
      </c>
    </row>
    <row r="93" spans="1:8" ht="24" x14ac:dyDescent="0.35">
      <c r="A93" s="118" t="s">
        <v>2131</v>
      </c>
      <c r="B93" s="118" t="s">
        <v>2132</v>
      </c>
      <c r="C93" s="118" t="s">
        <v>1866</v>
      </c>
      <c r="D93" s="118" t="s">
        <v>2133</v>
      </c>
      <c r="E93" s="118" t="s">
        <v>4</v>
      </c>
      <c r="F93" s="118">
        <v>82</v>
      </c>
      <c r="G93" s="118" t="s">
        <v>2133</v>
      </c>
      <c r="H93" s="118" t="s">
        <v>2134</v>
      </c>
    </row>
    <row r="94" spans="1:8" x14ac:dyDescent="0.35">
      <c r="A94" s="118" t="s">
        <v>2135</v>
      </c>
      <c r="B94" s="118" t="s">
        <v>2136</v>
      </c>
      <c r="C94" s="118" t="s">
        <v>1866</v>
      </c>
      <c r="D94" s="118" t="s">
        <v>2137</v>
      </c>
      <c r="E94" s="118" t="s">
        <v>4</v>
      </c>
      <c r="F94" s="118">
        <v>26</v>
      </c>
      <c r="G94" s="118" t="s">
        <v>2137</v>
      </c>
      <c r="H94" s="118" t="s">
        <v>2138</v>
      </c>
    </row>
    <row r="97" spans="1:8" x14ac:dyDescent="0.35">
      <c r="A97" s="189" t="s">
        <v>2139</v>
      </c>
      <c r="B97" s="182"/>
      <c r="C97" s="182"/>
      <c r="D97" s="182"/>
      <c r="E97" s="182"/>
      <c r="F97" s="182"/>
      <c r="G97" s="182"/>
      <c r="H97" s="182"/>
    </row>
    <row r="98" spans="1:8" ht="45" customHeight="1" x14ac:dyDescent="0.35">
      <c r="A98" s="190" t="s">
        <v>2140</v>
      </c>
      <c r="B98" s="182"/>
      <c r="C98" s="182"/>
      <c r="D98" s="182"/>
      <c r="E98" s="182"/>
      <c r="F98" s="182"/>
      <c r="G98" s="182"/>
      <c r="H98" s="182"/>
    </row>
    <row r="99" spans="1:8" x14ac:dyDescent="0.35">
      <c r="A99" s="123" t="s">
        <v>1</v>
      </c>
      <c r="B99" s="123" t="s">
        <v>630</v>
      </c>
      <c r="C99" s="123" t="s">
        <v>2141</v>
      </c>
      <c r="D99" s="123" t="s">
        <v>208</v>
      </c>
      <c r="E99" s="123" t="s">
        <v>2142</v>
      </c>
      <c r="F99" s="123"/>
      <c r="G99" s="123"/>
      <c r="H99" s="123"/>
    </row>
    <row r="100" spans="1:8" ht="24" customHeight="1" x14ac:dyDescent="0.35">
      <c r="A100" s="118" t="s">
        <v>2143</v>
      </c>
      <c r="B100" s="118" t="s">
        <v>2144</v>
      </c>
      <c r="C100" s="118">
        <v>40</v>
      </c>
      <c r="D100" s="118" t="s">
        <v>2145</v>
      </c>
      <c r="E100" s="118" t="s">
        <v>1941</v>
      </c>
      <c r="F100" s="118"/>
      <c r="G100" s="118"/>
      <c r="H100" s="118"/>
    </row>
    <row r="101" spans="1:8" x14ac:dyDescent="0.35">
      <c r="A101" s="118" t="s">
        <v>2146</v>
      </c>
      <c r="B101" s="118" t="s">
        <v>2147</v>
      </c>
      <c r="C101" s="118">
        <v>72</v>
      </c>
      <c r="D101" s="118" t="s">
        <v>2148</v>
      </c>
      <c r="E101" s="118" t="s">
        <v>1941</v>
      </c>
      <c r="F101" s="118"/>
      <c r="G101" s="118"/>
      <c r="H101" s="118"/>
    </row>
    <row r="102" spans="1:8" ht="24" customHeight="1" x14ac:dyDescent="0.35">
      <c r="A102" s="118" t="s">
        <v>2149</v>
      </c>
      <c r="B102" s="118" t="s">
        <v>2150</v>
      </c>
      <c r="C102" s="118">
        <v>32</v>
      </c>
      <c r="D102" s="118" t="s">
        <v>2151</v>
      </c>
      <c r="E102" s="118" t="s">
        <v>1941</v>
      </c>
      <c r="F102" s="118"/>
      <c r="G102" s="118"/>
      <c r="H102" s="118"/>
    </row>
    <row r="103" spans="1:8" ht="24" customHeight="1" x14ac:dyDescent="0.35">
      <c r="A103" s="118" t="s">
        <v>2152</v>
      </c>
      <c r="B103" s="118" t="s">
        <v>2153</v>
      </c>
      <c r="C103" s="118" t="s">
        <v>2154</v>
      </c>
      <c r="D103" s="118" t="s">
        <v>2155</v>
      </c>
      <c r="E103" s="118" t="s">
        <v>1946</v>
      </c>
      <c r="F103" s="118"/>
      <c r="G103" s="118"/>
      <c r="H103" s="118"/>
    </row>
    <row r="104" spans="1:8" ht="24" customHeight="1" x14ac:dyDescent="0.35">
      <c r="A104" s="118" t="s">
        <v>2156</v>
      </c>
      <c r="B104" s="118" t="s">
        <v>2157</v>
      </c>
      <c r="C104" s="118" t="s">
        <v>2158</v>
      </c>
      <c r="D104" s="118" t="s">
        <v>2159</v>
      </c>
      <c r="E104" s="118" t="s">
        <v>1946</v>
      </c>
      <c r="F104" s="118"/>
      <c r="G104" s="118"/>
      <c r="H104" s="118"/>
    </row>
    <row r="105" spans="1:8" ht="24" customHeight="1" x14ac:dyDescent="0.35">
      <c r="A105" s="118" t="s">
        <v>2160</v>
      </c>
      <c r="B105" s="118" t="s">
        <v>2161</v>
      </c>
      <c r="C105" s="118" t="s">
        <v>2162</v>
      </c>
      <c r="D105" s="118" t="s">
        <v>2163</v>
      </c>
      <c r="E105" s="118" t="s">
        <v>2164</v>
      </c>
      <c r="F105" s="118"/>
      <c r="G105" s="118"/>
      <c r="H105" s="118"/>
    </row>
    <row r="106" spans="1:8" ht="24" customHeight="1" x14ac:dyDescent="0.35">
      <c r="A106" s="118" t="s">
        <v>2165</v>
      </c>
      <c r="B106" s="118" t="s">
        <v>2166</v>
      </c>
      <c r="C106" s="124">
        <v>0.2</v>
      </c>
      <c r="D106" s="118" t="s">
        <v>2167</v>
      </c>
      <c r="E106" s="118" t="s">
        <v>1951</v>
      </c>
      <c r="F106" s="118"/>
      <c r="G106" s="118"/>
      <c r="H106" s="118"/>
    </row>
    <row r="107" spans="1:8" ht="24" customHeight="1" x14ac:dyDescent="0.35">
      <c r="A107" s="118" t="s">
        <v>2168</v>
      </c>
      <c r="B107" s="118" t="s">
        <v>2169</v>
      </c>
      <c r="C107" s="118" t="s">
        <v>2170</v>
      </c>
      <c r="D107" s="118" t="s">
        <v>2171</v>
      </c>
      <c r="E107" s="118" t="s">
        <v>1951</v>
      </c>
      <c r="F107" s="118"/>
      <c r="G107" s="118"/>
      <c r="H107" s="118"/>
    </row>
    <row r="108" spans="1:8" x14ac:dyDescent="0.35">
      <c r="A108" s="118" t="s">
        <v>2172</v>
      </c>
      <c r="B108" s="118" t="s">
        <v>2173</v>
      </c>
      <c r="C108" s="118" t="s">
        <v>2174</v>
      </c>
      <c r="D108" s="118" t="s">
        <v>2175</v>
      </c>
      <c r="E108" s="118" t="s">
        <v>1962</v>
      </c>
      <c r="F108" s="118"/>
      <c r="G108" s="118"/>
      <c r="H108" s="118"/>
    </row>
    <row r="109" spans="1:8" ht="48" customHeight="1" x14ac:dyDescent="0.35">
      <c r="A109" s="118" t="s">
        <v>2176</v>
      </c>
      <c r="B109" s="118" t="s">
        <v>2177</v>
      </c>
      <c r="C109" s="118" t="s">
        <v>2178</v>
      </c>
      <c r="D109" s="118" t="s">
        <v>2179</v>
      </c>
      <c r="E109" s="118" t="s">
        <v>2180</v>
      </c>
      <c r="F109" s="118"/>
      <c r="G109" s="118"/>
      <c r="H109" s="118"/>
    </row>
    <row r="110" spans="1:8" ht="24" customHeight="1" x14ac:dyDescent="0.35">
      <c r="A110" s="118" t="s">
        <v>2181</v>
      </c>
      <c r="B110" s="118" t="s">
        <v>2182</v>
      </c>
      <c r="C110" s="118" t="s">
        <v>2162</v>
      </c>
      <c r="D110" s="118" t="s">
        <v>2183</v>
      </c>
      <c r="E110" s="118" t="s">
        <v>1884</v>
      </c>
      <c r="F110" s="118"/>
      <c r="G110" s="118"/>
      <c r="H110" s="118"/>
    </row>
    <row r="111" spans="1:8" ht="24" customHeight="1" x14ac:dyDescent="0.35">
      <c r="A111" s="118" t="s">
        <v>2184</v>
      </c>
      <c r="B111" s="118" t="s">
        <v>2185</v>
      </c>
      <c r="C111" s="118" t="s">
        <v>2158</v>
      </c>
      <c r="D111" s="118" t="s">
        <v>2186</v>
      </c>
      <c r="E111" s="118" t="s">
        <v>2187</v>
      </c>
      <c r="F111" s="118"/>
      <c r="G111" s="118"/>
      <c r="H111" s="118"/>
    </row>
    <row r="112" spans="1:8" ht="24" customHeight="1" x14ac:dyDescent="0.35">
      <c r="A112" s="118" t="s">
        <v>2188</v>
      </c>
      <c r="B112" s="118" t="s">
        <v>2189</v>
      </c>
      <c r="C112" s="118" t="s">
        <v>2190</v>
      </c>
      <c r="D112" s="118" t="s">
        <v>2191</v>
      </c>
      <c r="E112" s="118" t="s">
        <v>1884</v>
      </c>
      <c r="F112" s="118"/>
      <c r="G112" s="118"/>
      <c r="H112" s="118"/>
    </row>
    <row r="113" spans="1:8" ht="24" customHeight="1" x14ac:dyDescent="0.35">
      <c r="A113" s="118" t="s">
        <v>2192</v>
      </c>
      <c r="B113" s="118" t="s">
        <v>2193</v>
      </c>
      <c r="C113" s="118" t="s">
        <v>2194</v>
      </c>
      <c r="D113" s="118" t="s">
        <v>2195</v>
      </c>
      <c r="E113" s="118" t="s">
        <v>1884</v>
      </c>
      <c r="F113" s="118"/>
      <c r="G113" s="118"/>
      <c r="H113" s="118"/>
    </row>
    <row r="114" spans="1:8" ht="24" customHeight="1" x14ac:dyDescent="0.35">
      <c r="A114" s="118" t="s">
        <v>2196</v>
      </c>
      <c r="B114" s="118" t="s">
        <v>2197</v>
      </c>
      <c r="C114" s="118" t="s">
        <v>2198</v>
      </c>
      <c r="D114" s="118" t="s">
        <v>2199</v>
      </c>
      <c r="E114" s="118" t="s">
        <v>1884</v>
      </c>
      <c r="F114" s="118"/>
      <c r="G114" s="118"/>
      <c r="H114" s="118"/>
    </row>
    <row r="115" spans="1:8" ht="36" customHeight="1" x14ac:dyDescent="0.35">
      <c r="A115" s="118" t="s">
        <v>2200</v>
      </c>
      <c r="B115" s="118" t="s">
        <v>2201</v>
      </c>
      <c r="C115" s="118" t="s">
        <v>2178</v>
      </c>
      <c r="D115" s="118" t="s">
        <v>2202</v>
      </c>
      <c r="E115" s="118" t="s">
        <v>2203</v>
      </c>
      <c r="F115" s="118"/>
      <c r="G115" s="118"/>
      <c r="H115" s="118"/>
    </row>
    <row r="116" spans="1:8" ht="36" customHeight="1" x14ac:dyDescent="0.35">
      <c r="A116" s="118" t="s">
        <v>2204</v>
      </c>
      <c r="B116" s="118" t="s">
        <v>2205</v>
      </c>
      <c r="C116" s="118" t="s">
        <v>2162</v>
      </c>
      <c r="D116" s="118" t="s">
        <v>2206</v>
      </c>
      <c r="E116" s="118" t="s">
        <v>2207</v>
      </c>
      <c r="F116" s="118"/>
      <c r="G116" s="118"/>
      <c r="H116" s="118"/>
    </row>
    <row r="117" spans="1:8" ht="48" customHeight="1" x14ac:dyDescent="0.35">
      <c r="A117" s="118" t="s">
        <v>2208</v>
      </c>
      <c r="B117" s="118" t="s">
        <v>2209</v>
      </c>
      <c r="C117" s="118" t="s">
        <v>2158</v>
      </c>
      <c r="D117" s="118" t="s">
        <v>2210</v>
      </c>
      <c r="E117" s="118" t="s">
        <v>2211</v>
      </c>
      <c r="F117" s="118"/>
      <c r="G117" s="118"/>
      <c r="H117" s="118"/>
    </row>
    <row r="118" spans="1:8" ht="24" customHeight="1" x14ac:dyDescent="0.35">
      <c r="A118" s="118" t="s">
        <v>2212</v>
      </c>
      <c r="B118" s="118" t="s">
        <v>2213</v>
      </c>
      <c r="C118" s="118" t="s">
        <v>2190</v>
      </c>
      <c r="D118" s="118" t="s">
        <v>2214</v>
      </c>
      <c r="E118" s="118" t="s">
        <v>1913</v>
      </c>
      <c r="F118" s="118"/>
      <c r="G118" s="118"/>
      <c r="H118" s="118"/>
    </row>
    <row r="119" spans="1:8" ht="24" customHeight="1" x14ac:dyDescent="0.35">
      <c r="A119" s="118" t="s">
        <v>2215</v>
      </c>
      <c r="B119" s="118" t="s">
        <v>2216</v>
      </c>
      <c r="C119" s="118" t="s">
        <v>2194</v>
      </c>
      <c r="D119" s="118" t="s">
        <v>2217</v>
      </c>
      <c r="E119" s="118" t="s">
        <v>1913</v>
      </c>
      <c r="F119" s="118"/>
      <c r="G119" s="118"/>
      <c r="H119" s="118"/>
    </row>
    <row r="120" spans="1:8" ht="24" customHeight="1" x14ac:dyDescent="0.35">
      <c r="A120" s="118" t="s">
        <v>2218</v>
      </c>
      <c r="B120" s="118" t="s">
        <v>2219</v>
      </c>
      <c r="C120" s="118" t="s">
        <v>2198</v>
      </c>
      <c r="D120" s="118" t="s">
        <v>2220</v>
      </c>
      <c r="E120" s="118" t="s">
        <v>1913</v>
      </c>
      <c r="F120" s="118"/>
      <c r="G120" s="118"/>
      <c r="H120" s="118"/>
    </row>
    <row r="121" spans="1:8" x14ac:dyDescent="0.35">
      <c r="A121" s="118" t="s">
        <v>2221</v>
      </c>
      <c r="B121" s="118" t="s">
        <v>2222</v>
      </c>
      <c r="C121" s="118" t="s">
        <v>204</v>
      </c>
      <c r="D121" s="118" t="s">
        <v>2223</v>
      </c>
      <c r="E121" s="118" t="s">
        <v>2022</v>
      </c>
      <c r="F121" s="118"/>
      <c r="G121" s="118"/>
      <c r="H121" s="118"/>
    </row>
    <row r="122" spans="1:8" ht="24" customHeight="1" x14ac:dyDescent="0.35">
      <c r="A122" s="118" t="s">
        <v>2224</v>
      </c>
      <c r="B122" s="118" t="s">
        <v>2225</v>
      </c>
      <c r="C122" s="118" t="s">
        <v>2226</v>
      </c>
      <c r="D122" s="118" t="s">
        <v>2227</v>
      </c>
      <c r="E122" s="118" t="s">
        <v>2010</v>
      </c>
      <c r="F122" s="118"/>
      <c r="G122" s="118"/>
      <c r="H122" s="118"/>
    </row>
    <row r="123" spans="1:8" ht="24" customHeight="1" x14ac:dyDescent="0.35">
      <c r="A123" s="118" t="s">
        <v>2228</v>
      </c>
      <c r="B123" s="118" t="s">
        <v>2229</v>
      </c>
      <c r="C123" s="118" t="s">
        <v>2230</v>
      </c>
      <c r="D123" s="118" t="s">
        <v>2231</v>
      </c>
      <c r="E123" s="118" t="s">
        <v>2232</v>
      </c>
      <c r="F123" s="118"/>
      <c r="G123" s="118"/>
      <c r="H123" s="118"/>
    </row>
    <row r="124" spans="1:8" x14ac:dyDescent="0.35">
      <c r="A124" s="118" t="s">
        <v>2233</v>
      </c>
      <c r="B124" s="118" t="s">
        <v>2234</v>
      </c>
      <c r="C124" s="118" t="s">
        <v>2235</v>
      </c>
      <c r="D124" s="118" t="s">
        <v>2236</v>
      </c>
      <c r="E124" s="118" t="s">
        <v>2046</v>
      </c>
      <c r="F124" s="118"/>
      <c r="G124" s="118"/>
      <c r="H124" s="118"/>
    </row>
    <row r="125" spans="1:8" ht="24" customHeight="1" x14ac:dyDescent="0.35">
      <c r="A125" s="118" t="s">
        <v>2237</v>
      </c>
      <c r="B125" s="118" t="s">
        <v>2238</v>
      </c>
      <c r="C125" s="118" t="s">
        <v>2239</v>
      </c>
      <c r="D125" s="118" t="s">
        <v>2240</v>
      </c>
      <c r="E125" s="118" t="s">
        <v>2241</v>
      </c>
      <c r="F125" s="118"/>
      <c r="G125" s="118"/>
      <c r="H125" s="118"/>
    </row>
    <row r="126" spans="1:8" x14ac:dyDescent="0.35">
      <c r="A126" s="118" t="s">
        <v>2242</v>
      </c>
      <c r="B126" s="118" t="s">
        <v>2234</v>
      </c>
      <c r="C126" s="118" t="s">
        <v>2243</v>
      </c>
      <c r="D126" s="118" t="s">
        <v>2244</v>
      </c>
      <c r="E126" s="118" t="s">
        <v>2041</v>
      </c>
      <c r="F126" s="118"/>
      <c r="G126" s="118"/>
      <c r="H126" s="118"/>
    </row>
    <row r="127" spans="1:8" x14ac:dyDescent="0.35">
      <c r="A127" s="118" t="s">
        <v>2245</v>
      </c>
      <c r="B127" s="118" t="s">
        <v>2246</v>
      </c>
      <c r="C127" s="118" t="s">
        <v>2243</v>
      </c>
      <c r="D127" s="118" t="s">
        <v>2247</v>
      </c>
      <c r="E127" s="118" t="s">
        <v>2051</v>
      </c>
      <c r="F127" s="118"/>
      <c r="G127" s="118"/>
      <c r="H127" s="118"/>
    </row>
    <row r="128" spans="1:8" ht="24" customHeight="1" x14ac:dyDescent="0.35">
      <c r="A128" s="118" t="s">
        <v>2248</v>
      </c>
      <c r="B128" s="118" t="s">
        <v>2225</v>
      </c>
      <c r="C128" s="118" t="s">
        <v>2249</v>
      </c>
      <c r="D128" s="118" t="s">
        <v>2250</v>
      </c>
      <c r="E128" s="118" t="s">
        <v>2084</v>
      </c>
      <c r="F128" s="118"/>
      <c r="G128" s="118"/>
      <c r="H128" s="118"/>
    </row>
    <row r="129" spans="1:8" ht="24" customHeight="1" x14ac:dyDescent="0.35">
      <c r="A129" s="118" t="s">
        <v>2251</v>
      </c>
      <c r="B129" s="118" t="s">
        <v>2238</v>
      </c>
      <c r="C129" s="118" t="s">
        <v>2239</v>
      </c>
      <c r="D129" s="118" t="s">
        <v>2252</v>
      </c>
      <c r="E129" s="118" t="s">
        <v>2084</v>
      </c>
      <c r="F129" s="118"/>
      <c r="G129" s="118"/>
      <c r="H129" s="118"/>
    </row>
    <row r="132" spans="1:8" x14ac:dyDescent="0.35">
      <c r="A132" s="191" t="s">
        <v>2253</v>
      </c>
      <c r="B132" s="182"/>
      <c r="C132" s="182"/>
      <c r="D132" s="182"/>
      <c r="E132" s="182"/>
      <c r="F132" s="182"/>
      <c r="G132" s="182"/>
      <c r="H132" s="182"/>
    </row>
    <row r="133" spans="1:8" x14ac:dyDescent="0.35">
      <c r="A133" s="125" t="s">
        <v>1060</v>
      </c>
      <c r="B133" s="125" t="s">
        <v>2254</v>
      </c>
      <c r="C133" s="125" t="s">
        <v>3</v>
      </c>
      <c r="D133" s="125"/>
      <c r="E133" s="125"/>
      <c r="F133" s="125"/>
      <c r="G133" s="125"/>
      <c r="H133" s="125"/>
    </row>
    <row r="134" spans="1:8" ht="36" customHeight="1" x14ac:dyDescent="0.35">
      <c r="A134" s="118" t="s">
        <v>2255</v>
      </c>
      <c r="B134" s="118">
        <v>23</v>
      </c>
      <c r="C134" s="118" t="s">
        <v>2256</v>
      </c>
      <c r="D134" s="118"/>
      <c r="E134" s="118"/>
      <c r="F134" s="118"/>
      <c r="G134" s="118"/>
      <c r="H134" s="118"/>
    </row>
    <row r="135" spans="1:8" ht="24" customHeight="1" x14ac:dyDescent="0.35">
      <c r="A135" s="118" t="s">
        <v>2257</v>
      </c>
      <c r="B135" s="118">
        <v>4</v>
      </c>
      <c r="C135" s="118" t="s">
        <v>2258</v>
      </c>
      <c r="D135" s="118"/>
      <c r="E135" s="118"/>
      <c r="F135" s="118"/>
      <c r="G135" s="118"/>
      <c r="H135" s="118"/>
    </row>
    <row r="136" spans="1:8" ht="36" customHeight="1" x14ac:dyDescent="0.35">
      <c r="A136" s="118" t="s">
        <v>2259</v>
      </c>
      <c r="B136" s="118">
        <v>11</v>
      </c>
      <c r="C136" s="118" t="s">
        <v>2260</v>
      </c>
      <c r="D136" s="118"/>
      <c r="E136" s="118"/>
      <c r="F136" s="118"/>
      <c r="G136" s="118"/>
      <c r="H136" s="118"/>
    </row>
    <row r="137" spans="1:8" ht="48" customHeight="1" x14ac:dyDescent="0.35">
      <c r="A137" s="118" t="s">
        <v>2261</v>
      </c>
      <c r="B137" s="118">
        <v>19</v>
      </c>
      <c r="C137" s="118" t="s">
        <v>2262</v>
      </c>
      <c r="D137" s="118"/>
      <c r="E137" s="118"/>
      <c r="F137" s="118"/>
      <c r="G137" s="118"/>
      <c r="H137" s="118"/>
    </row>
    <row r="138" spans="1:8" ht="24" customHeight="1" x14ac:dyDescent="0.35">
      <c r="A138" s="118" t="s">
        <v>2263</v>
      </c>
      <c r="B138" s="118">
        <v>11</v>
      </c>
      <c r="C138" s="118" t="s">
        <v>2264</v>
      </c>
      <c r="D138" s="118"/>
      <c r="E138" s="118"/>
      <c r="F138" s="118"/>
      <c r="G138" s="118"/>
      <c r="H138" s="118"/>
    </row>
    <row r="139" spans="1:8" ht="36" customHeight="1" x14ac:dyDescent="0.35">
      <c r="A139" s="118" t="s">
        <v>2265</v>
      </c>
      <c r="B139" s="118" t="s">
        <v>2266</v>
      </c>
      <c r="C139" s="118" t="s">
        <v>2267</v>
      </c>
      <c r="D139" s="118"/>
      <c r="E139" s="118"/>
      <c r="F139" s="118"/>
      <c r="G139" s="118"/>
      <c r="H139" s="118"/>
    </row>
    <row r="140" spans="1:8" x14ac:dyDescent="0.35">
      <c r="A140" s="118"/>
      <c r="B140" s="118"/>
      <c r="C140" s="118"/>
      <c r="D140" s="118"/>
      <c r="E140" s="118"/>
      <c r="F140" s="118"/>
      <c r="G140" s="118"/>
      <c r="H140" s="118"/>
    </row>
    <row r="141" spans="1:8" x14ac:dyDescent="0.35">
      <c r="A141" s="118" t="s">
        <v>2268</v>
      </c>
      <c r="B141" s="118"/>
      <c r="C141" s="118"/>
      <c r="D141" s="118"/>
      <c r="E141" s="118"/>
      <c r="F141" s="118"/>
      <c r="G141" s="118"/>
      <c r="H141" s="118"/>
    </row>
    <row r="142" spans="1:8" ht="24" customHeight="1" x14ac:dyDescent="0.35">
      <c r="A142" s="118" t="s">
        <v>2269</v>
      </c>
      <c r="B142" s="118" t="s">
        <v>2270</v>
      </c>
      <c r="C142" s="118" t="s">
        <v>2271</v>
      </c>
      <c r="D142" s="118"/>
      <c r="E142" s="118"/>
      <c r="F142" s="118"/>
      <c r="G142" s="118"/>
      <c r="H142" s="118"/>
    </row>
    <row r="143" spans="1:8" ht="36" customHeight="1" x14ac:dyDescent="0.35">
      <c r="A143" s="118" t="s">
        <v>2272</v>
      </c>
      <c r="B143" s="118" t="s">
        <v>2273</v>
      </c>
      <c r="C143" s="118" t="s">
        <v>2274</v>
      </c>
      <c r="D143" s="118"/>
      <c r="E143" s="118"/>
      <c r="F143" s="118"/>
      <c r="G143" s="118"/>
      <c r="H143" s="118"/>
    </row>
    <row r="144" spans="1:8" ht="24" customHeight="1" x14ac:dyDescent="0.35">
      <c r="A144" s="118" t="s">
        <v>2275</v>
      </c>
      <c r="B144" s="118" t="s">
        <v>2276</v>
      </c>
      <c r="C144" s="118" t="s">
        <v>2277</v>
      </c>
      <c r="D144" s="118"/>
      <c r="E144" s="118"/>
      <c r="F144" s="118"/>
      <c r="G144" s="118"/>
      <c r="H144" s="118"/>
    </row>
    <row r="145" spans="1:8" x14ac:dyDescent="0.35">
      <c r="A145" s="118"/>
      <c r="B145" s="118"/>
      <c r="C145" s="118"/>
      <c r="D145" s="118"/>
      <c r="E145" s="118"/>
      <c r="F145" s="118"/>
      <c r="G145" s="118"/>
      <c r="H145" s="118"/>
    </row>
    <row r="146" spans="1:8" ht="24" customHeight="1" x14ac:dyDescent="0.35">
      <c r="A146" s="118" t="s">
        <v>2278</v>
      </c>
      <c r="B146" s="118"/>
      <c r="C146" s="118"/>
      <c r="D146" s="118"/>
      <c r="E146" s="118"/>
      <c r="F146" s="118"/>
      <c r="G146" s="118"/>
      <c r="H146" s="118"/>
    </row>
    <row r="147" spans="1:8" ht="36" customHeight="1" x14ac:dyDescent="0.35">
      <c r="A147" s="118" t="s">
        <v>2279</v>
      </c>
      <c r="B147" s="118" t="s">
        <v>2280</v>
      </c>
      <c r="C147" s="118" t="s">
        <v>2281</v>
      </c>
      <c r="D147" s="118"/>
      <c r="E147" s="118"/>
      <c r="F147" s="118"/>
      <c r="G147" s="118"/>
      <c r="H147" s="118"/>
    </row>
    <row r="148" spans="1:8" ht="48" customHeight="1" x14ac:dyDescent="0.35">
      <c r="A148" s="118" t="s">
        <v>2282</v>
      </c>
      <c r="B148" s="118" t="s">
        <v>2283</v>
      </c>
      <c r="C148" s="118" t="s">
        <v>2284</v>
      </c>
      <c r="D148" s="118"/>
      <c r="E148" s="118"/>
      <c r="F148" s="118"/>
      <c r="G148" s="118"/>
      <c r="H148" s="118"/>
    </row>
    <row r="149" spans="1:8" ht="60" customHeight="1" x14ac:dyDescent="0.35">
      <c r="A149" s="118" t="s">
        <v>2285</v>
      </c>
      <c r="B149" s="118" t="s">
        <v>2286</v>
      </c>
      <c r="C149" s="118" t="s">
        <v>2287</v>
      </c>
      <c r="D149" s="118"/>
      <c r="E149" s="118"/>
      <c r="F149" s="118"/>
      <c r="G149" s="118"/>
      <c r="H149" s="118"/>
    </row>
    <row r="150" spans="1:8" x14ac:dyDescent="0.35">
      <c r="A150" s="118"/>
      <c r="B150" s="118"/>
      <c r="C150" s="118"/>
      <c r="D150" s="118"/>
      <c r="E150" s="118"/>
      <c r="F150" s="118"/>
      <c r="G150" s="118"/>
      <c r="H150" s="118"/>
    </row>
    <row r="151" spans="1:8" ht="24" customHeight="1" x14ac:dyDescent="0.35">
      <c r="A151" s="118" t="s">
        <v>2288</v>
      </c>
      <c r="B151" s="118"/>
      <c r="C151" s="118"/>
      <c r="D151" s="118"/>
      <c r="E151" s="118"/>
      <c r="F151" s="118"/>
      <c r="G151" s="118"/>
      <c r="H151" s="118"/>
    </row>
    <row r="152" spans="1:8" ht="84" customHeight="1" x14ac:dyDescent="0.35">
      <c r="A152" s="118" t="s">
        <v>2289</v>
      </c>
      <c r="B152" s="118" t="s">
        <v>2290</v>
      </c>
      <c r="C152" s="118" t="s">
        <v>2291</v>
      </c>
      <c r="D152" s="118"/>
      <c r="E152" s="118"/>
      <c r="F152" s="118"/>
      <c r="G152" s="118"/>
      <c r="H152" s="118"/>
    </row>
    <row r="153" spans="1:8" ht="60" customHeight="1" x14ac:dyDescent="0.35">
      <c r="A153" s="118" t="s">
        <v>2292</v>
      </c>
      <c r="B153" s="118" t="s">
        <v>2293</v>
      </c>
      <c r="C153" s="118" t="s">
        <v>2294</v>
      </c>
      <c r="D153" s="118"/>
      <c r="E153" s="118"/>
      <c r="F153" s="118"/>
      <c r="G153" s="118"/>
      <c r="H153" s="118"/>
    </row>
  </sheetData>
  <mergeCells count="16">
    <mergeCell ref="A82:H82"/>
    <mergeCell ref="A97:H97"/>
    <mergeCell ref="A98:H98"/>
    <mergeCell ref="A132:H132"/>
    <mergeCell ref="A33:H33"/>
    <mergeCell ref="A41:H41"/>
    <mergeCell ref="A42:H42"/>
    <mergeCell ref="A57:H57"/>
    <mergeCell ref="A58:H58"/>
    <mergeCell ref="A81:H81"/>
    <mergeCell ref="A32:H32"/>
    <mergeCell ref="A1:H1"/>
    <mergeCell ref="A2:H2"/>
    <mergeCell ref="A3:H3"/>
    <mergeCell ref="A5:H5"/>
    <mergeCell ref="A6:H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5074-1D0A-4FD4-8427-A16F9D01E207}">
  <dimension ref="A1:I124"/>
  <sheetViews>
    <sheetView workbookViewId="0">
      <selection activeCell="C14" sqref="C14"/>
    </sheetView>
  </sheetViews>
  <sheetFormatPr defaultRowHeight="14.5" x14ac:dyDescent="0.35"/>
  <cols>
    <col min="1" max="1" width="40" customWidth="1"/>
    <col min="2" max="2" width="32.7265625" customWidth="1"/>
    <col min="3" max="3" width="14.54296875" customWidth="1"/>
    <col min="4" max="4" width="32.7265625" customWidth="1"/>
    <col min="5" max="5" width="16.36328125" customWidth="1"/>
    <col min="6" max="6" width="72.7265625" customWidth="1"/>
    <col min="7" max="7" width="45.453125" customWidth="1"/>
    <col min="8" max="8" width="23.6328125" customWidth="1"/>
    <col min="9" max="9" width="36.36328125" customWidth="1"/>
  </cols>
  <sheetData>
    <row r="1" spans="1:9" x14ac:dyDescent="0.35">
      <c r="A1" s="236" t="s">
        <v>3460</v>
      </c>
      <c r="B1" s="182"/>
      <c r="C1" s="182"/>
      <c r="D1" s="182"/>
      <c r="E1" s="182"/>
      <c r="F1" s="182"/>
      <c r="G1" s="182"/>
      <c r="H1" s="182"/>
      <c r="I1" s="182"/>
    </row>
    <row r="2" spans="1:9" ht="18.5" x14ac:dyDescent="0.45">
      <c r="A2" s="234" t="s">
        <v>3105</v>
      </c>
      <c r="B2" s="182"/>
      <c r="C2" s="182"/>
      <c r="D2" s="182"/>
      <c r="E2" s="182"/>
      <c r="F2" s="182"/>
      <c r="G2" s="182"/>
      <c r="H2" s="182"/>
      <c r="I2" s="182"/>
    </row>
    <row r="3" spans="1:9" x14ac:dyDescent="0.35">
      <c r="A3" s="237" t="s">
        <v>3106</v>
      </c>
      <c r="B3" s="182"/>
      <c r="C3" s="182"/>
      <c r="D3" s="182"/>
      <c r="E3" s="182"/>
      <c r="F3" s="182"/>
      <c r="G3" s="182"/>
      <c r="H3" s="182"/>
      <c r="I3" s="182"/>
    </row>
    <row r="4" spans="1:9" x14ac:dyDescent="0.35">
      <c r="A4" s="182" t="s">
        <v>3107</v>
      </c>
      <c r="B4" s="182"/>
      <c r="C4" s="182"/>
      <c r="D4" s="182"/>
      <c r="E4" s="182"/>
      <c r="F4" s="182"/>
      <c r="G4" s="182"/>
      <c r="H4" s="182"/>
      <c r="I4" s="182"/>
    </row>
    <row r="6" spans="1:9" x14ac:dyDescent="0.35">
      <c r="A6" s="152" t="s">
        <v>3108</v>
      </c>
    </row>
    <row r="7" spans="1:9" x14ac:dyDescent="0.35">
      <c r="A7" t="s">
        <v>3109</v>
      </c>
    </row>
    <row r="8" spans="1:9" x14ac:dyDescent="0.35">
      <c r="A8" t="s">
        <v>3110</v>
      </c>
    </row>
    <row r="11" spans="1:9" x14ac:dyDescent="0.35">
      <c r="A11" s="235" t="s">
        <v>3111</v>
      </c>
      <c r="B11" s="182"/>
      <c r="C11" s="182"/>
      <c r="D11" s="182"/>
      <c r="E11" s="182"/>
      <c r="F11" s="182"/>
      <c r="G11" s="182"/>
      <c r="H11" s="182"/>
      <c r="I11" s="182"/>
    </row>
    <row r="13" spans="1:9" x14ac:dyDescent="0.35">
      <c r="A13" s="153" t="s">
        <v>2843</v>
      </c>
      <c r="B13" s="153" t="s">
        <v>2845</v>
      </c>
      <c r="C13" s="153" t="s">
        <v>322</v>
      </c>
      <c r="D13" s="153" t="s">
        <v>2990</v>
      </c>
      <c r="E13" s="153" t="s">
        <v>3112</v>
      </c>
      <c r="F13" s="153" t="s">
        <v>3113</v>
      </c>
      <c r="G13" s="153" t="s">
        <v>1861</v>
      </c>
      <c r="H13" s="153" t="s">
        <v>2580</v>
      </c>
      <c r="I13" s="153" t="s">
        <v>3</v>
      </c>
    </row>
    <row r="14" spans="1:9" ht="65" x14ac:dyDescent="0.35">
      <c r="A14" t="s">
        <v>3114</v>
      </c>
      <c r="B14" t="s">
        <v>2795</v>
      </c>
      <c r="C14" t="s">
        <v>2855</v>
      </c>
      <c r="D14" t="s">
        <v>2795</v>
      </c>
      <c r="E14" t="s">
        <v>3115</v>
      </c>
      <c r="F14" s="158" t="s">
        <v>3461</v>
      </c>
      <c r="G14" t="s">
        <v>3116</v>
      </c>
      <c r="H14" s="159" t="s">
        <v>3462</v>
      </c>
    </row>
    <row r="15" spans="1:9" ht="65" x14ac:dyDescent="0.35">
      <c r="A15" t="s">
        <v>3117</v>
      </c>
      <c r="B15" t="s">
        <v>2795</v>
      </c>
      <c r="C15" t="s">
        <v>3118</v>
      </c>
      <c r="D15" t="s">
        <v>2795</v>
      </c>
      <c r="E15" t="s">
        <v>3115</v>
      </c>
      <c r="F15" s="158" t="s">
        <v>3463</v>
      </c>
      <c r="G15" t="s">
        <v>3116</v>
      </c>
      <c r="H15" s="159" t="s">
        <v>3462</v>
      </c>
    </row>
    <row r="16" spans="1:9" ht="78" x14ac:dyDescent="0.35">
      <c r="A16" t="s">
        <v>3119</v>
      </c>
      <c r="B16" t="s">
        <v>2795</v>
      </c>
      <c r="C16" t="s">
        <v>3118</v>
      </c>
      <c r="D16" t="s">
        <v>2799</v>
      </c>
      <c r="E16" t="s">
        <v>3115</v>
      </c>
      <c r="F16" s="158" t="s">
        <v>3464</v>
      </c>
      <c r="G16" t="s">
        <v>3116</v>
      </c>
      <c r="H16" s="159" t="s">
        <v>3462</v>
      </c>
    </row>
    <row r="17" spans="1:8" ht="52" x14ac:dyDescent="0.35">
      <c r="A17" t="s">
        <v>3120</v>
      </c>
      <c r="B17" t="s">
        <v>2795</v>
      </c>
      <c r="C17" t="s">
        <v>3118</v>
      </c>
      <c r="D17" t="s">
        <v>3121</v>
      </c>
      <c r="E17" t="s">
        <v>3115</v>
      </c>
      <c r="F17" s="158" t="s">
        <v>3122</v>
      </c>
      <c r="G17" t="s">
        <v>3116</v>
      </c>
      <c r="H17" s="159" t="s">
        <v>2861</v>
      </c>
    </row>
    <row r="18" spans="1:8" ht="65" x14ac:dyDescent="0.35">
      <c r="A18" t="s">
        <v>3123</v>
      </c>
      <c r="B18" t="s">
        <v>2795</v>
      </c>
      <c r="C18" t="s">
        <v>3118</v>
      </c>
      <c r="D18" t="s">
        <v>2806</v>
      </c>
      <c r="E18" t="s">
        <v>3115</v>
      </c>
      <c r="F18" s="158" t="s">
        <v>3124</v>
      </c>
      <c r="G18" t="s">
        <v>3116</v>
      </c>
      <c r="H18" s="159" t="s">
        <v>2861</v>
      </c>
    </row>
    <row r="19" spans="1:8" ht="65" x14ac:dyDescent="0.35">
      <c r="A19" t="s">
        <v>3125</v>
      </c>
      <c r="B19" t="s">
        <v>2795</v>
      </c>
      <c r="C19" t="s">
        <v>3118</v>
      </c>
      <c r="D19" t="s">
        <v>3126</v>
      </c>
      <c r="E19" t="s">
        <v>3115</v>
      </c>
      <c r="F19" s="158" t="s">
        <v>3127</v>
      </c>
      <c r="G19" t="s">
        <v>3116</v>
      </c>
      <c r="H19" s="159" t="s">
        <v>2861</v>
      </c>
    </row>
    <row r="20" spans="1:8" ht="65" x14ac:dyDescent="0.35">
      <c r="A20" t="s">
        <v>3128</v>
      </c>
      <c r="B20" t="s">
        <v>2799</v>
      </c>
      <c r="C20" t="s">
        <v>2855</v>
      </c>
      <c r="D20" t="s">
        <v>2795</v>
      </c>
      <c r="E20" t="s">
        <v>3115</v>
      </c>
      <c r="F20" s="158" t="s">
        <v>3465</v>
      </c>
      <c r="G20" t="s">
        <v>3116</v>
      </c>
      <c r="H20" s="159" t="s">
        <v>3462</v>
      </c>
    </row>
    <row r="21" spans="1:8" ht="78" x14ac:dyDescent="0.35">
      <c r="A21" t="s">
        <v>3129</v>
      </c>
      <c r="B21" t="s">
        <v>2799</v>
      </c>
      <c r="C21" t="s">
        <v>2855</v>
      </c>
      <c r="D21" t="s">
        <v>2799</v>
      </c>
      <c r="E21" t="s">
        <v>3115</v>
      </c>
      <c r="F21" s="158" t="s">
        <v>3466</v>
      </c>
      <c r="G21" t="s">
        <v>3116</v>
      </c>
      <c r="H21" s="159" t="s">
        <v>3462</v>
      </c>
    </row>
    <row r="22" spans="1:8" ht="78" x14ac:dyDescent="0.35">
      <c r="A22" t="s">
        <v>3130</v>
      </c>
      <c r="B22" t="s">
        <v>2799</v>
      </c>
      <c r="C22" t="s">
        <v>3118</v>
      </c>
      <c r="D22" t="s">
        <v>2799</v>
      </c>
      <c r="E22" t="s">
        <v>3115</v>
      </c>
      <c r="F22" s="158" t="s">
        <v>3467</v>
      </c>
      <c r="G22" t="s">
        <v>3116</v>
      </c>
      <c r="H22" s="159" t="s">
        <v>3462</v>
      </c>
    </row>
    <row r="23" spans="1:8" ht="52" x14ac:dyDescent="0.35">
      <c r="A23" t="s">
        <v>3131</v>
      </c>
      <c r="B23" t="s">
        <v>2799</v>
      </c>
      <c r="C23" t="s">
        <v>3118</v>
      </c>
      <c r="D23" t="s">
        <v>3121</v>
      </c>
      <c r="E23" t="s">
        <v>3115</v>
      </c>
      <c r="F23" s="158" t="s">
        <v>3132</v>
      </c>
      <c r="G23" t="s">
        <v>3116</v>
      </c>
      <c r="H23" s="159" t="s">
        <v>2861</v>
      </c>
    </row>
    <row r="24" spans="1:8" ht="65" x14ac:dyDescent="0.35">
      <c r="A24" t="s">
        <v>3133</v>
      </c>
      <c r="B24" t="s">
        <v>2799</v>
      </c>
      <c r="C24" t="s">
        <v>3118</v>
      </c>
      <c r="D24" t="s">
        <v>2806</v>
      </c>
      <c r="E24" t="s">
        <v>3115</v>
      </c>
      <c r="F24" s="158" t="s">
        <v>3134</v>
      </c>
      <c r="G24" t="s">
        <v>3116</v>
      </c>
      <c r="H24" s="159" t="s">
        <v>2861</v>
      </c>
    </row>
    <row r="25" spans="1:8" ht="52" x14ac:dyDescent="0.35">
      <c r="A25" t="s">
        <v>3135</v>
      </c>
      <c r="B25" t="s">
        <v>2799</v>
      </c>
      <c r="C25" t="s">
        <v>3118</v>
      </c>
      <c r="D25" t="s">
        <v>3126</v>
      </c>
      <c r="E25" t="s">
        <v>3115</v>
      </c>
      <c r="F25" s="158" t="s">
        <v>3136</v>
      </c>
      <c r="G25" t="s">
        <v>3116</v>
      </c>
      <c r="H25" s="159" t="s">
        <v>2861</v>
      </c>
    </row>
    <row r="26" spans="1:8" ht="52" x14ac:dyDescent="0.35">
      <c r="A26" t="s">
        <v>3137</v>
      </c>
      <c r="B26" t="s">
        <v>2799</v>
      </c>
      <c r="C26" t="s">
        <v>3118</v>
      </c>
      <c r="D26" t="s">
        <v>2814</v>
      </c>
      <c r="E26" t="s">
        <v>3115</v>
      </c>
      <c r="F26" s="158" t="s">
        <v>3138</v>
      </c>
      <c r="G26" t="s">
        <v>3116</v>
      </c>
      <c r="H26" s="159" t="s">
        <v>2861</v>
      </c>
    </row>
    <row r="27" spans="1:8" ht="65" x14ac:dyDescent="0.35">
      <c r="A27" t="s">
        <v>3139</v>
      </c>
      <c r="B27" t="s">
        <v>3121</v>
      </c>
      <c r="C27" t="s">
        <v>2855</v>
      </c>
      <c r="D27" t="s">
        <v>2795</v>
      </c>
      <c r="E27" t="s">
        <v>3115</v>
      </c>
      <c r="F27" s="158" t="s">
        <v>3468</v>
      </c>
      <c r="G27" t="s">
        <v>3116</v>
      </c>
      <c r="H27" s="159" t="s">
        <v>3462</v>
      </c>
    </row>
    <row r="28" spans="1:8" ht="78" x14ac:dyDescent="0.35">
      <c r="A28" t="s">
        <v>3140</v>
      </c>
      <c r="B28" t="s">
        <v>3121</v>
      </c>
      <c r="C28" t="s">
        <v>2855</v>
      </c>
      <c r="D28" t="s">
        <v>2799</v>
      </c>
      <c r="E28" t="s">
        <v>3115</v>
      </c>
      <c r="F28" s="158" t="s">
        <v>3469</v>
      </c>
      <c r="G28" t="s">
        <v>3116</v>
      </c>
      <c r="H28" s="159" t="s">
        <v>3462</v>
      </c>
    </row>
    <row r="29" spans="1:8" ht="52" x14ac:dyDescent="0.35">
      <c r="A29" t="s">
        <v>3141</v>
      </c>
      <c r="B29" t="s">
        <v>3121</v>
      </c>
      <c r="C29" t="s">
        <v>2855</v>
      </c>
      <c r="D29" t="s">
        <v>3121</v>
      </c>
      <c r="E29" t="s">
        <v>3115</v>
      </c>
      <c r="F29" s="158" t="s">
        <v>3142</v>
      </c>
      <c r="G29" t="s">
        <v>3116</v>
      </c>
      <c r="H29" s="159" t="s">
        <v>2861</v>
      </c>
    </row>
    <row r="30" spans="1:8" ht="52" x14ac:dyDescent="0.35">
      <c r="A30" t="s">
        <v>3143</v>
      </c>
      <c r="B30" t="s">
        <v>3121</v>
      </c>
      <c r="C30" t="s">
        <v>3118</v>
      </c>
      <c r="D30" t="s">
        <v>3121</v>
      </c>
      <c r="E30" t="s">
        <v>3115</v>
      </c>
      <c r="F30" s="158" t="s">
        <v>3144</v>
      </c>
      <c r="G30" t="s">
        <v>3116</v>
      </c>
      <c r="H30" s="159" t="s">
        <v>2861</v>
      </c>
    </row>
    <row r="31" spans="1:8" ht="65" x14ac:dyDescent="0.35">
      <c r="A31" t="s">
        <v>3145</v>
      </c>
      <c r="B31" t="s">
        <v>3121</v>
      </c>
      <c r="C31" t="s">
        <v>3118</v>
      </c>
      <c r="D31" t="s">
        <v>2806</v>
      </c>
      <c r="E31" t="s">
        <v>3115</v>
      </c>
      <c r="F31" s="158" t="s">
        <v>3146</v>
      </c>
      <c r="G31" t="s">
        <v>3116</v>
      </c>
      <c r="H31" s="159" t="s">
        <v>2861</v>
      </c>
    </row>
    <row r="32" spans="1:8" ht="65" x14ac:dyDescent="0.35">
      <c r="A32" t="s">
        <v>3147</v>
      </c>
      <c r="B32" t="s">
        <v>3121</v>
      </c>
      <c r="C32" t="s">
        <v>3118</v>
      </c>
      <c r="D32" t="s">
        <v>3126</v>
      </c>
      <c r="E32" t="s">
        <v>3115</v>
      </c>
      <c r="F32" s="158" t="s">
        <v>3148</v>
      </c>
      <c r="G32" t="s">
        <v>3116</v>
      </c>
      <c r="H32" s="159" t="s">
        <v>2861</v>
      </c>
    </row>
    <row r="33" spans="1:8" ht="65" x14ac:dyDescent="0.35">
      <c r="A33" t="s">
        <v>3149</v>
      </c>
      <c r="B33" t="s">
        <v>3121</v>
      </c>
      <c r="C33" t="s">
        <v>3118</v>
      </c>
      <c r="D33" t="s">
        <v>2814</v>
      </c>
      <c r="E33" t="s">
        <v>3115</v>
      </c>
      <c r="F33" s="158" t="s">
        <v>3150</v>
      </c>
      <c r="G33" t="s">
        <v>3116</v>
      </c>
      <c r="H33" s="159" t="s">
        <v>2861</v>
      </c>
    </row>
    <row r="34" spans="1:8" ht="65" x14ac:dyDescent="0.35">
      <c r="A34" t="s">
        <v>3151</v>
      </c>
      <c r="B34" t="s">
        <v>3121</v>
      </c>
      <c r="C34" t="s">
        <v>3118</v>
      </c>
      <c r="D34" t="s">
        <v>3152</v>
      </c>
      <c r="E34" t="s">
        <v>3115</v>
      </c>
      <c r="F34" s="158" t="s">
        <v>3153</v>
      </c>
      <c r="G34" t="s">
        <v>3116</v>
      </c>
      <c r="H34" s="159" t="s">
        <v>2861</v>
      </c>
    </row>
    <row r="35" spans="1:8" ht="65" x14ac:dyDescent="0.35">
      <c r="A35" t="s">
        <v>3154</v>
      </c>
      <c r="B35" t="s">
        <v>2806</v>
      </c>
      <c r="C35" t="s">
        <v>2855</v>
      </c>
      <c r="D35" t="s">
        <v>2795</v>
      </c>
      <c r="E35" t="s">
        <v>3115</v>
      </c>
      <c r="F35" s="158" t="s">
        <v>3470</v>
      </c>
      <c r="G35" t="s">
        <v>3116</v>
      </c>
      <c r="H35" s="159" t="s">
        <v>3462</v>
      </c>
    </row>
    <row r="36" spans="1:8" ht="78" x14ac:dyDescent="0.35">
      <c r="A36" t="s">
        <v>3155</v>
      </c>
      <c r="B36" t="s">
        <v>2806</v>
      </c>
      <c r="C36" t="s">
        <v>2855</v>
      </c>
      <c r="D36" t="s">
        <v>2799</v>
      </c>
      <c r="E36" t="s">
        <v>3115</v>
      </c>
      <c r="F36" s="158" t="s">
        <v>3471</v>
      </c>
      <c r="G36" t="s">
        <v>3116</v>
      </c>
      <c r="H36" s="159" t="s">
        <v>3462</v>
      </c>
    </row>
    <row r="37" spans="1:8" ht="52" x14ac:dyDescent="0.35">
      <c r="A37" t="s">
        <v>3156</v>
      </c>
      <c r="B37" t="s">
        <v>2806</v>
      </c>
      <c r="C37" t="s">
        <v>2855</v>
      </c>
      <c r="D37" t="s">
        <v>3121</v>
      </c>
      <c r="E37" t="s">
        <v>3115</v>
      </c>
      <c r="F37" s="158" t="s">
        <v>3157</v>
      </c>
      <c r="G37" t="s">
        <v>3116</v>
      </c>
      <c r="H37" s="159" t="s">
        <v>2861</v>
      </c>
    </row>
    <row r="38" spans="1:8" ht="65" x14ac:dyDescent="0.35">
      <c r="A38" t="s">
        <v>3158</v>
      </c>
      <c r="B38" t="s">
        <v>2806</v>
      </c>
      <c r="C38" t="s">
        <v>2855</v>
      </c>
      <c r="D38" t="s">
        <v>2806</v>
      </c>
      <c r="E38" t="s">
        <v>3115</v>
      </c>
      <c r="F38" s="158" t="s">
        <v>3159</v>
      </c>
      <c r="G38" t="s">
        <v>3116</v>
      </c>
      <c r="H38" s="159" t="s">
        <v>2861</v>
      </c>
    </row>
    <row r="39" spans="1:8" ht="65" x14ac:dyDescent="0.35">
      <c r="A39" t="s">
        <v>3160</v>
      </c>
      <c r="B39" t="s">
        <v>2806</v>
      </c>
      <c r="C39" t="s">
        <v>3118</v>
      </c>
      <c r="D39" t="s">
        <v>2806</v>
      </c>
      <c r="E39" t="s">
        <v>3115</v>
      </c>
      <c r="F39" s="158" t="s">
        <v>3161</v>
      </c>
      <c r="G39" t="s">
        <v>3116</v>
      </c>
      <c r="H39" s="159" t="s">
        <v>2861</v>
      </c>
    </row>
    <row r="40" spans="1:8" ht="65" x14ac:dyDescent="0.35">
      <c r="A40" t="s">
        <v>3162</v>
      </c>
      <c r="B40" t="s">
        <v>2806</v>
      </c>
      <c r="C40" t="s">
        <v>3118</v>
      </c>
      <c r="D40" t="s">
        <v>3126</v>
      </c>
      <c r="E40" t="s">
        <v>3115</v>
      </c>
      <c r="F40" s="158" t="s">
        <v>3163</v>
      </c>
      <c r="G40" t="s">
        <v>3116</v>
      </c>
      <c r="H40" s="159" t="s">
        <v>2861</v>
      </c>
    </row>
    <row r="41" spans="1:8" ht="65" x14ac:dyDescent="0.35">
      <c r="A41" t="s">
        <v>3164</v>
      </c>
      <c r="B41" t="s">
        <v>2806</v>
      </c>
      <c r="C41" t="s">
        <v>3118</v>
      </c>
      <c r="D41" t="s">
        <v>2814</v>
      </c>
      <c r="E41" t="s">
        <v>3115</v>
      </c>
      <c r="F41" s="158" t="s">
        <v>3165</v>
      </c>
      <c r="G41" t="s">
        <v>3116</v>
      </c>
      <c r="H41" s="159" t="s">
        <v>2861</v>
      </c>
    </row>
    <row r="42" spans="1:8" ht="65" x14ac:dyDescent="0.35">
      <c r="A42" t="s">
        <v>3166</v>
      </c>
      <c r="B42" t="s">
        <v>2806</v>
      </c>
      <c r="C42" t="s">
        <v>3118</v>
      </c>
      <c r="D42" t="s">
        <v>3152</v>
      </c>
      <c r="E42" t="s">
        <v>3115</v>
      </c>
      <c r="F42" s="158" t="s">
        <v>3167</v>
      </c>
      <c r="G42" t="s">
        <v>3116</v>
      </c>
      <c r="H42" s="159" t="s">
        <v>2861</v>
      </c>
    </row>
    <row r="43" spans="1:8" ht="65" x14ac:dyDescent="0.35">
      <c r="A43" t="s">
        <v>3168</v>
      </c>
      <c r="B43" t="s">
        <v>2806</v>
      </c>
      <c r="C43" t="s">
        <v>3118</v>
      </c>
      <c r="D43" t="s">
        <v>2822</v>
      </c>
      <c r="E43" t="s">
        <v>3115</v>
      </c>
      <c r="F43" s="158" t="s">
        <v>3169</v>
      </c>
      <c r="G43" t="s">
        <v>3116</v>
      </c>
      <c r="H43" s="159" t="s">
        <v>2861</v>
      </c>
    </row>
    <row r="44" spans="1:8" ht="65" x14ac:dyDescent="0.35">
      <c r="A44" t="s">
        <v>3170</v>
      </c>
      <c r="B44" t="s">
        <v>3126</v>
      </c>
      <c r="C44" t="s">
        <v>2855</v>
      </c>
      <c r="D44" t="s">
        <v>2795</v>
      </c>
      <c r="E44" t="s">
        <v>3115</v>
      </c>
      <c r="F44" s="158" t="s">
        <v>3472</v>
      </c>
      <c r="G44" t="s">
        <v>3116</v>
      </c>
      <c r="H44" s="159" t="s">
        <v>3462</v>
      </c>
    </row>
    <row r="45" spans="1:8" ht="78" x14ac:dyDescent="0.35">
      <c r="A45" t="s">
        <v>3171</v>
      </c>
      <c r="B45" t="s">
        <v>3126</v>
      </c>
      <c r="C45" t="s">
        <v>2855</v>
      </c>
      <c r="D45" t="s">
        <v>2799</v>
      </c>
      <c r="E45" t="s">
        <v>3115</v>
      </c>
      <c r="F45" s="158" t="s">
        <v>3473</v>
      </c>
      <c r="G45" t="s">
        <v>3116</v>
      </c>
      <c r="H45" s="159" t="s">
        <v>3462</v>
      </c>
    </row>
    <row r="46" spans="1:8" ht="65" x14ac:dyDescent="0.35">
      <c r="A46" t="s">
        <v>3172</v>
      </c>
      <c r="B46" t="s">
        <v>3126</v>
      </c>
      <c r="C46" t="s">
        <v>2855</v>
      </c>
      <c r="D46" t="s">
        <v>3121</v>
      </c>
      <c r="E46" t="s">
        <v>3115</v>
      </c>
      <c r="F46" s="158" t="s">
        <v>3173</v>
      </c>
      <c r="G46" t="s">
        <v>3116</v>
      </c>
      <c r="H46" s="159" t="s">
        <v>2861</v>
      </c>
    </row>
    <row r="47" spans="1:8" ht="65" x14ac:dyDescent="0.35">
      <c r="A47" t="s">
        <v>3174</v>
      </c>
      <c r="B47" t="s">
        <v>3126</v>
      </c>
      <c r="C47" t="s">
        <v>2855</v>
      </c>
      <c r="D47" t="s">
        <v>2806</v>
      </c>
      <c r="E47" t="s">
        <v>3115</v>
      </c>
      <c r="F47" s="158" t="s">
        <v>3175</v>
      </c>
      <c r="G47" t="s">
        <v>3116</v>
      </c>
      <c r="H47" s="159" t="s">
        <v>2861</v>
      </c>
    </row>
    <row r="48" spans="1:8" ht="65" x14ac:dyDescent="0.35">
      <c r="A48" t="s">
        <v>3176</v>
      </c>
      <c r="B48" t="s">
        <v>3126</v>
      </c>
      <c r="C48" t="s">
        <v>2855</v>
      </c>
      <c r="D48" t="s">
        <v>3126</v>
      </c>
      <c r="E48" t="s">
        <v>3115</v>
      </c>
      <c r="F48" s="158" t="s">
        <v>3177</v>
      </c>
      <c r="G48" t="s">
        <v>3116</v>
      </c>
      <c r="H48" s="159" t="s">
        <v>2861</v>
      </c>
    </row>
    <row r="49" spans="1:8" ht="65" x14ac:dyDescent="0.35">
      <c r="A49" t="s">
        <v>3178</v>
      </c>
      <c r="B49" t="s">
        <v>3126</v>
      </c>
      <c r="C49" t="s">
        <v>3118</v>
      </c>
      <c r="D49" t="s">
        <v>3126</v>
      </c>
      <c r="E49" t="s">
        <v>3115</v>
      </c>
      <c r="F49" s="158" t="s">
        <v>3179</v>
      </c>
      <c r="G49" t="s">
        <v>3116</v>
      </c>
      <c r="H49" s="159" t="s">
        <v>2861</v>
      </c>
    </row>
    <row r="50" spans="1:8" ht="65" x14ac:dyDescent="0.35">
      <c r="A50" t="s">
        <v>3180</v>
      </c>
      <c r="B50" t="s">
        <v>3126</v>
      </c>
      <c r="C50" t="s">
        <v>3118</v>
      </c>
      <c r="D50" t="s">
        <v>2814</v>
      </c>
      <c r="E50" t="s">
        <v>3115</v>
      </c>
      <c r="F50" s="158" t="s">
        <v>3181</v>
      </c>
      <c r="G50" t="s">
        <v>3116</v>
      </c>
      <c r="H50" s="159" t="s">
        <v>2861</v>
      </c>
    </row>
    <row r="51" spans="1:8" ht="65" x14ac:dyDescent="0.35">
      <c r="A51" t="s">
        <v>3182</v>
      </c>
      <c r="B51" t="s">
        <v>3126</v>
      </c>
      <c r="C51" t="s">
        <v>3118</v>
      </c>
      <c r="D51" t="s">
        <v>3152</v>
      </c>
      <c r="E51" t="s">
        <v>3115</v>
      </c>
      <c r="F51" s="158" t="s">
        <v>3183</v>
      </c>
      <c r="G51" t="s">
        <v>3116</v>
      </c>
      <c r="H51" s="159" t="s">
        <v>2861</v>
      </c>
    </row>
    <row r="52" spans="1:8" ht="65" x14ac:dyDescent="0.35">
      <c r="A52" t="s">
        <v>3184</v>
      </c>
      <c r="B52" t="s">
        <v>3126</v>
      </c>
      <c r="C52" t="s">
        <v>3118</v>
      </c>
      <c r="D52" t="s">
        <v>2822</v>
      </c>
      <c r="E52" t="s">
        <v>3115</v>
      </c>
      <c r="F52" s="158" t="s">
        <v>3185</v>
      </c>
      <c r="G52" t="s">
        <v>3116</v>
      </c>
      <c r="H52" s="159" t="s">
        <v>2861</v>
      </c>
    </row>
    <row r="53" spans="1:8" ht="65" x14ac:dyDescent="0.35">
      <c r="A53" t="s">
        <v>3186</v>
      </c>
      <c r="B53" t="s">
        <v>3126</v>
      </c>
      <c r="C53" t="s">
        <v>3118</v>
      </c>
      <c r="D53" t="s">
        <v>2826</v>
      </c>
      <c r="E53" t="s">
        <v>3115</v>
      </c>
      <c r="F53" s="158" t="s">
        <v>3187</v>
      </c>
      <c r="G53" t="s">
        <v>3116</v>
      </c>
      <c r="H53" s="159" t="s">
        <v>2861</v>
      </c>
    </row>
    <row r="54" spans="1:8" ht="65" x14ac:dyDescent="0.35">
      <c r="A54" t="s">
        <v>3188</v>
      </c>
      <c r="B54" t="s">
        <v>2814</v>
      </c>
      <c r="C54" t="s">
        <v>2855</v>
      </c>
      <c r="D54" t="s">
        <v>2795</v>
      </c>
      <c r="E54" t="s">
        <v>3115</v>
      </c>
      <c r="F54" s="158" t="s">
        <v>3474</v>
      </c>
      <c r="G54" t="s">
        <v>3116</v>
      </c>
      <c r="H54" s="159" t="s">
        <v>3462</v>
      </c>
    </row>
    <row r="55" spans="1:8" ht="78" x14ac:dyDescent="0.35">
      <c r="A55" t="s">
        <v>3189</v>
      </c>
      <c r="B55" t="s">
        <v>2814</v>
      </c>
      <c r="C55" t="s">
        <v>2855</v>
      </c>
      <c r="D55" t="s">
        <v>2799</v>
      </c>
      <c r="E55" t="s">
        <v>3115</v>
      </c>
      <c r="F55" s="158" t="s">
        <v>3475</v>
      </c>
      <c r="G55" t="s">
        <v>3116</v>
      </c>
      <c r="H55" s="159" t="s">
        <v>3462</v>
      </c>
    </row>
    <row r="56" spans="1:8" ht="52" x14ac:dyDescent="0.35">
      <c r="A56" t="s">
        <v>3190</v>
      </c>
      <c r="B56" t="s">
        <v>2814</v>
      </c>
      <c r="C56" t="s">
        <v>2855</v>
      </c>
      <c r="D56" t="s">
        <v>3121</v>
      </c>
      <c r="E56" t="s">
        <v>3115</v>
      </c>
      <c r="F56" s="158" t="s">
        <v>3191</v>
      </c>
      <c r="G56" t="s">
        <v>3116</v>
      </c>
      <c r="H56" s="159" t="s">
        <v>2861</v>
      </c>
    </row>
    <row r="57" spans="1:8" ht="65" x14ac:dyDescent="0.35">
      <c r="A57" t="s">
        <v>3192</v>
      </c>
      <c r="B57" t="s">
        <v>2814</v>
      </c>
      <c r="C57" t="s">
        <v>2855</v>
      </c>
      <c r="D57" t="s">
        <v>2806</v>
      </c>
      <c r="E57" t="s">
        <v>3115</v>
      </c>
      <c r="F57" s="158" t="s">
        <v>3193</v>
      </c>
      <c r="G57" t="s">
        <v>3116</v>
      </c>
      <c r="H57" s="159" t="s">
        <v>2861</v>
      </c>
    </row>
    <row r="58" spans="1:8" ht="52" x14ac:dyDescent="0.35">
      <c r="A58" t="s">
        <v>3194</v>
      </c>
      <c r="B58" t="s">
        <v>2814</v>
      </c>
      <c r="C58" t="s">
        <v>2855</v>
      </c>
      <c r="D58" t="s">
        <v>3126</v>
      </c>
      <c r="E58" t="s">
        <v>3115</v>
      </c>
      <c r="F58" s="158" t="s">
        <v>3195</v>
      </c>
      <c r="G58" t="s">
        <v>3116</v>
      </c>
      <c r="H58" s="159" t="s">
        <v>2861</v>
      </c>
    </row>
    <row r="59" spans="1:8" ht="65" x14ac:dyDescent="0.35">
      <c r="A59" t="s">
        <v>3196</v>
      </c>
      <c r="B59" t="s">
        <v>2814</v>
      </c>
      <c r="C59" t="s">
        <v>2855</v>
      </c>
      <c r="D59" t="s">
        <v>2814</v>
      </c>
      <c r="E59" t="s">
        <v>3115</v>
      </c>
      <c r="F59" s="158" t="s">
        <v>3197</v>
      </c>
      <c r="G59" t="s">
        <v>3116</v>
      </c>
      <c r="H59" s="159" t="s">
        <v>2861</v>
      </c>
    </row>
    <row r="60" spans="1:8" ht="65" x14ac:dyDescent="0.35">
      <c r="A60" t="s">
        <v>3198</v>
      </c>
      <c r="B60" t="s">
        <v>2814</v>
      </c>
      <c r="C60" t="s">
        <v>3118</v>
      </c>
      <c r="D60" t="s">
        <v>2814</v>
      </c>
      <c r="E60" t="s">
        <v>3115</v>
      </c>
      <c r="F60" s="158" t="s">
        <v>3199</v>
      </c>
      <c r="G60" t="s">
        <v>3116</v>
      </c>
      <c r="H60" s="159" t="s">
        <v>2861</v>
      </c>
    </row>
    <row r="61" spans="1:8" ht="65" x14ac:dyDescent="0.35">
      <c r="A61" t="s">
        <v>3200</v>
      </c>
      <c r="B61" t="s">
        <v>2814</v>
      </c>
      <c r="C61" t="s">
        <v>3118</v>
      </c>
      <c r="D61" t="s">
        <v>3152</v>
      </c>
      <c r="E61" t="s">
        <v>3115</v>
      </c>
      <c r="F61" s="158" t="s">
        <v>3201</v>
      </c>
      <c r="G61" t="s">
        <v>3116</v>
      </c>
      <c r="H61" s="159" t="s">
        <v>2861</v>
      </c>
    </row>
    <row r="62" spans="1:8" ht="65" x14ac:dyDescent="0.35">
      <c r="A62" t="s">
        <v>3202</v>
      </c>
      <c r="B62" t="s">
        <v>2814</v>
      </c>
      <c r="C62" t="s">
        <v>3118</v>
      </c>
      <c r="D62" t="s">
        <v>2822</v>
      </c>
      <c r="E62" t="s">
        <v>3115</v>
      </c>
      <c r="F62" s="158" t="s">
        <v>3203</v>
      </c>
      <c r="G62" t="s">
        <v>3116</v>
      </c>
      <c r="H62" s="159" t="s">
        <v>2861</v>
      </c>
    </row>
    <row r="63" spans="1:8" ht="65" x14ac:dyDescent="0.35">
      <c r="A63" t="s">
        <v>3204</v>
      </c>
      <c r="B63" t="s">
        <v>2814</v>
      </c>
      <c r="C63" t="s">
        <v>3118</v>
      </c>
      <c r="D63" t="s">
        <v>2826</v>
      </c>
      <c r="E63" t="s">
        <v>3115</v>
      </c>
      <c r="F63" s="158" t="s">
        <v>3205</v>
      </c>
      <c r="G63" t="s">
        <v>3116</v>
      </c>
      <c r="H63" s="159" t="s">
        <v>2861</v>
      </c>
    </row>
    <row r="64" spans="1:8" ht="65" x14ac:dyDescent="0.35">
      <c r="A64" t="s">
        <v>3206</v>
      </c>
      <c r="B64" t="s">
        <v>2814</v>
      </c>
      <c r="C64" t="s">
        <v>3118</v>
      </c>
      <c r="D64" t="s">
        <v>3207</v>
      </c>
      <c r="E64" t="s">
        <v>3115</v>
      </c>
      <c r="F64" s="158" t="s">
        <v>3208</v>
      </c>
      <c r="G64" t="s">
        <v>3116</v>
      </c>
      <c r="H64" s="159" t="s">
        <v>2861</v>
      </c>
    </row>
    <row r="65" spans="1:8" ht="65" x14ac:dyDescent="0.35">
      <c r="A65" t="s">
        <v>3209</v>
      </c>
      <c r="B65" t="s">
        <v>3152</v>
      </c>
      <c r="C65" t="s">
        <v>2855</v>
      </c>
      <c r="D65" t="s">
        <v>2795</v>
      </c>
      <c r="E65" t="s">
        <v>3115</v>
      </c>
      <c r="F65" s="158" t="s">
        <v>3476</v>
      </c>
      <c r="G65" t="s">
        <v>3116</v>
      </c>
      <c r="H65" s="159" t="s">
        <v>3462</v>
      </c>
    </row>
    <row r="66" spans="1:8" ht="78" x14ac:dyDescent="0.35">
      <c r="A66" t="s">
        <v>3210</v>
      </c>
      <c r="B66" t="s">
        <v>3152</v>
      </c>
      <c r="C66" t="s">
        <v>2855</v>
      </c>
      <c r="D66" t="s">
        <v>2799</v>
      </c>
      <c r="E66" t="s">
        <v>3115</v>
      </c>
      <c r="F66" s="158" t="s">
        <v>3477</v>
      </c>
      <c r="G66" t="s">
        <v>3116</v>
      </c>
      <c r="H66" s="159" t="s">
        <v>3462</v>
      </c>
    </row>
    <row r="67" spans="1:8" ht="65" x14ac:dyDescent="0.35">
      <c r="A67" t="s">
        <v>3211</v>
      </c>
      <c r="B67" t="s">
        <v>3152</v>
      </c>
      <c r="C67" t="s">
        <v>2855</v>
      </c>
      <c r="D67" t="s">
        <v>3121</v>
      </c>
      <c r="E67" t="s">
        <v>3115</v>
      </c>
      <c r="F67" s="158" t="s">
        <v>3212</v>
      </c>
      <c r="G67" t="s">
        <v>3116</v>
      </c>
      <c r="H67" s="159" t="s">
        <v>2861</v>
      </c>
    </row>
    <row r="68" spans="1:8" ht="65" x14ac:dyDescent="0.35">
      <c r="A68" t="s">
        <v>3213</v>
      </c>
      <c r="B68" t="s">
        <v>3152</v>
      </c>
      <c r="C68" t="s">
        <v>2855</v>
      </c>
      <c r="D68" t="s">
        <v>2806</v>
      </c>
      <c r="E68" t="s">
        <v>3115</v>
      </c>
      <c r="F68" s="158" t="s">
        <v>3214</v>
      </c>
      <c r="G68" t="s">
        <v>3116</v>
      </c>
      <c r="H68" s="159" t="s">
        <v>2861</v>
      </c>
    </row>
    <row r="69" spans="1:8" ht="65" x14ac:dyDescent="0.35">
      <c r="A69" t="s">
        <v>3215</v>
      </c>
      <c r="B69" t="s">
        <v>3152</v>
      </c>
      <c r="C69" t="s">
        <v>2855</v>
      </c>
      <c r="D69" t="s">
        <v>3126</v>
      </c>
      <c r="E69" t="s">
        <v>3115</v>
      </c>
      <c r="F69" s="158" t="s">
        <v>3216</v>
      </c>
      <c r="G69" t="s">
        <v>3116</v>
      </c>
      <c r="H69" s="159" t="s">
        <v>2861</v>
      </c>
    </row>
    <row r="70" spans="1:8" ht="65" x14ac:dyDescent="0.35">
      <c r="A70" t="s">
        <v>3217</v>
      </c>
      <c r="B70" t="s">
        <v>3152</v>
      </c>
      <c r="C70" t="s">
        <v>2855</v>
      </c>
      <c r="D70" t="s">
        <v>2814</v>
      </c>
      <c r="E70" t="s">
        <v>3115</v>
      </c>
      <c r="F70" s="158" t="s">
        <v>3218</v>
      </c>
      <c r="G70" t="s">
        <v>3116</v>
      </c>
      <c r="H70" s="159" t="s">
        <v>2861</v>
      </c>
    </row>
    <row r="71" spans="1:8" ht="65" x14ac:dyDescent="0.35">
      <c r="A71" t="s">
        <v>3219</v>
      </c>
      <c r="B71" t="s">
        <v>3152</v>
      </c>
      <c r="C71" t="s">
        <v>2855</v>
      </c>
      <c r="D71" t="s">
        <v>3152</v>
      </c>
      <c r="E71" t="s">
        <v>3115</v>
      </c>
      <c r="F71" s="158" t="s">
        <v>3220</v>
      </c>
      <c r="G71" t="s">
        <v>3116</v>
      </c>
      <c r="H71" s="159" t="s">
        <v>2861</v>
      </c>
    </row>
    <row r="72" spans="1:8" ht="65" x14ac:dyDescent="0.35">
      <c r="A72" t="s">
        <v>3221</v>
      </c>
      <c r="B72" t="s">
        <v>3152</v>
      </c>
      <c r="C72" t="s">
        <v>3118</v>
      </c>
      <c r="D72" t="s">
        <v>3152</v>
      </c>
      <c r="E72" t="s">
        <v>3115</v>
      </c>
      <c r="F72" s="158" t="s">
        <v>3222</v>
      </c>
      <c r="G72" t="s">
        <v>3116</v>
      </c>
      <c r="H72" s="159" t="s">
        <v>2861</v>
      </c>
    </row>
    <row r="73" spans="1:8" ht="65" x14ac:dyDescent="0.35">
      <c r="A73" t="s">
        <v>3223</v>
      </c>
      <c r="B73" t="s">
        <v>3152</v>
      </c>
      <c r="C73" t="s">
        <v>3118</v>
      </c>
      <c r="D73" t="s">
        <v>2822</v>
      </c>
      <c r="E73" t="s">
        <v>3115</v>
      </c>
      <c r="F73" s="158" t="s">
        <v>3224</v>
      </c>
      <c r="G73" t="s">
        <v>3116</v>
      </c>
      <c r="H73" s="159" t="s">
        <v>2861</v>
      </c>
    </row>
    <row r="74" spans="1:8" ht="65" x14ac:dyDescent="0.35">
      <c r="A74" t="s">
        <v>3225</v>
      </c>
      <c r="B74" t="s">
        <v>3152</v>
      </c>
      <c r="C74" t="s">
        <v>3118</v>
      </c>
      <c r="D74" t="s">
        <v>2826</v>
      </c>
      <c r="E74" t="s">
        <v>3115</v>
      </c>
      <c r="F74" s="158" t="s">
        <v>3226</v>
      </c>
      <c r="G74" t="s">
        <v>3116</v>
      </c>
      <c r="H74" s="159" t="s">
        <v>2861</v>
      </c>
    </row>
    <row r="75" spans="1:8" ht="65" x14ac:dyDescent="0.35">
      <c r="A75" t="s">
        <v>3227</v>
      </c>
      <c r="B75" t="s">
        <v>3152</v>
      </c>
      <c r="C75" t="s">
        <v>3118</v>
      </c>
      <c r="D75" t="s">
        <v>3207</v>
      </c>
      <c r="E75" t="s">
        <v>3115</v>
      </c>
      <c r="F75" s="158" t="s">
        <v>3228</v>
      </c>
      <c r="G75" t="s">
        <v>3116</v>
      </c>
      <c r="H75" s="159" t="s">
        <v>2861</v>
      </c>
    </row>
    <row r="76" spans="1:8" ht="65" x14ac:dyDescent="0.35">
      <c r="A76" t="s">
        <v>3229</v>
      </c>
      <c r="B76" t="s">
        <v>3152</v>
      </c>
      <c r="C76" t="s">
        <v>3118</v>
      </c>
      <c r="D76" t="s">
        <v>3230</v>
      </c>
      <c r="E76" t="s">
        <v>3115</v>
      </c>
      <c r="F76" s="158" t="s">
        <v>3478</v>
      </c>
      <c r="G76" t="s">
        <v>3116</v>
      </c>
      <c r="H76" s="159" t="s">
        <v>3462</v>
      </c>
    </row>
    <row r="77" spans="1:8" ht="78" x14ac:dyDescent="0.35">
      <c r="A77" t="s">
        <v>3231</v>
      </c>
      <c r="B77" t="s">
        <v>2822</v>
      </c>
      <c r="C77" t="s">
        <v>2855</v>
      </c>
      <c r="D77" t="s">
        <v>2799</v>
      </c>
      <c r="E77" t="s">
        <v>3115</v>
      </c>
      <c r="F77" s="158" t="s">
        <v>3479</v>
      </c>
      <c r="G77" t="s">
        <v>3116</v>
      </c>
      <c r="H77" s="159" t="s">
        <v>3462</v>
      </c>
    </row>
    <row r="78" spans="1:8" ht="65" x14ac:dyDescent="0.35">
      <c r="A78" t="s">
        <v>3232</v>
      </c>
      <c r="B78" t="s">
        <v>2822</v>
      </c>
      <c r="C78" t="s">
        <v>2855</v>
      </c>
      <c r="D78" t="s">
        <v>3121</v>
      </c>
      <c r="E78" t="s">
        <v>3115</v>
      </c>
      <c r="F78" s="158" t="s">
        <v>3233</v>
      </c>
      <c r="G78" t="s">
        <v>3116</v>
      </c>
      <c r="H78" s="159" t="s">
        <v>2861</v>
      </c>
    </row>
    <row r="79" spans="1:8" ht="65" x14ac:dyDescent="0.35">
      <c r="A79" t="s">
        <v>3234</v>
      </c>
      <c r="B79" t="s">
        <v>2822</v>
      </c>
      <c r="C79" t="s">
        <v>2855</v>
      </c>
      <c r="D79" t="s">
        <v>2806</v>
      </c>
      <c r="E79" t="s">
        <v>3115</v>
      </c>
      <c r="F79" s="158" t="s">
        <v>3235</v>
      </c>
      <c r="G79" t="s">
        <v>3116</v>
      </c>
      <c r="H79" s="159" t="s">
        <v>2861</v>
      </c>
    </row>
    <row r="80" spans="1:8" ht="65" x14ac:dyDescent="0.35">
      <c r="A80" t="s">
        <v>3236</v>
      </c>
      <c r="B80" t="s">
        <v>2822</v>
      </c>
      <c r="C80" t="s">
        <v>2855</v>
      </c>
      <c r="D80" t="s">
        <v>3126</v>
      </c>
      <c r="E80" t="s">
        <v>3115</v>
      </c>
      <c r="F80" s="158" t="s">
        <v>3237</v>
      </c>
      <c r="G80" t="s">
        <v>3116</v>
      </c>
      <c r="H80" s="159" t="s">
        <v>2861</v>
      </c>
    </row>
    <row r="81" spans="1:8" ht="65" x14ac:dyDescent="0.35">
      <c r="A81" t="s">
        <v>3238</v>
      </c>
      <c r="B81" t="s">
        <v>2822</v>
      </c>
      <c r="C81" t="s">
        <v>2855</v>
      </c>
      <c r="D81" t="s">
        <v>2814</v>
      </c>
      <c r="E81" t="s">
        <v>3115</v>
      </c>
      <c r="F81" s="158" t="s">
        <v>3239</v>
      </c>
      <c r="G81" t="s">
        <v>3116</v>
      </c>
      <c r="H81" s="159" t="s">
        <v>2861</v>
      </c>
    </row>
    <row r="82" spans="1:8" ht="65" x14ac:dyDescent="0.35">
      <c r="A82" t="s">
        <v>3240</v>
      </c>
      <c r="B82" t="s">
        <v>2822</v>
      </c>
      <c r="C82" t="s">
        <v>2855</v>
      </c>
      <c r="D82" t="s">
        <v>3152</v>
      </c>
      <c r="E82" t="s">
        <v>3115</v>
      </c>
      <c r="F82" s="158" t="s">
        <v>3241</v>
      </c>
      <c r="G82" t="s">
        <v>3116</v>
      </c>
      <c r="H82" s="159" t="s">
        <v>2861</v>
      </c>
    </row>
    <row r="83" spans="1:8" ht="65" x14ac:dyDescent="0.35">
      <c r="A83" t="s">
        <v>3242</v>
      </c>
      <c r="B83" t="s">
        <v>2822</v>
      </c>
      <c r="C83" t="s">
        <v>2855</v>
      </c>
      <c r="D83" t="s">
        <v>2822</v>
      </c>
      <c r="E83" t="s">
        <v>3115</v>
      </c>
      <c r="F83" s="158" t="s">
        <v>3243</v>
      </c>
      <c r="G83" t="s">
        <v>3116</v>
      </c>
      <c r="H83" s="159" t="s">
        <v>2861</v>
      </c>
    </row>
    <row r="84" spans="1:8" ht="65" x14ac:dyDescent="0.35">
      <c r="A84" t="s">
        <v>3244</v>
      </c>
      <c r="B84" t="s">
        <v>2822</v>
      </c>
      <c r="C84" t="s">
        <v>3118</v>
      </c>
      <c r="D84" t="s">
        <v>2822</v>
      </c>
      <c r="E84" t="s">
        <v>3115</v>
      </c>
      <c r="F84" s="158" t="s">
        <v>3245</v>
      </c>
      <c r="G84" t="s">
        <v>3116</v>
      </c>
      <c r="H84" s="159" t="s">
        <v>2861</v>
      </c>
    </row>
    <row r="85" spans="1:8" ht="65" x14ac:dyDescent="0.35">
      <c r="A85" t="s">
        <v>3246</v>
      </c>
      <c r="B85" t="s">
        <v>2822</v>
      </c>
      <c r="C85" t="s">
        <v>3118</v>
      </c>
      <c r="D85" t="s">
        <v>2826</v>
      </c>
      <c r="E85" t="s">
        <v>3115</v>
      </c>
      <c r="F85" s="158" t="s">
        <v>3247</v>
      </c>
      <c r="G85" t="s">
        <v>3116</v>
      </c>
      <c r="H85" s="159" t="s">
        <v>2861</v>
      </c>
    </row>
    <row r="86" spans="1:8" ht="65" x14ac:dyDescent="0.35">
      <c r="A86" t="s">
        <v>3248</v>
      </c>
      <c r="B86" t="s">
        <v>2822</v>
      </c>
      <c r="C86" t="s">
        <v>3118</v>
      </c>
      <c r="D86" t="s">
        <v>3207</v>
      </c>
      <c r="E86" t="s">
        <v>3115</v>
      </c>
      <c r="F86" s="158" t="s">
        <v>3249</v>
      </c>
      <c r="G86" t="s">
        <v>3116</v>
      </c>
      <c r="H86" s="159" t="s">
        <v>2861</v>
      </c>
    </row>
    <row r="87" spans="1:8" ht="65" x14ac:dyDescent="0.35">
      <c r="A87" t="s">
        <v>3250</v>
      </c>
      <c r="B87" t="s">
        <v>2822</v>
      </c>
      <c r="C87" t="s">
        <v>3118</v>
      </c>
      <c r="D87" t="s">
        <v>3230</v>
      </c>
      <c r="E87" t="s">
        <v>3115</v>
      </c>
      <c r="F87" s="158" t="s">
        <v>3480</v>
      </c>
      <c r="G87" t="s">
        <v>3116</v>
      </c>
      <c r="H87" s="159" t="s">
        <v>3462</v>
      </c>
    </row>
    <row r="88" spans="1:8" ht="65" x14ac:dyDescent="0.35">
      <c r="A88" t="s">
        <v>3251</v>
      </c>
      <c r="B88" t="s">
        <v>2826</v>
      </c>
      <c r="C88" t="s">
        <v>2855</v>
      </c>
      <c r="D88" t="s">
        <v>3121</v>
      </c>
      <c r="E88" t="s">
        <v>3115</v>
      </c>
      <c r="F88" s="158" t="s">
        <v>3252</v>
      </c>
      <c r="G88" t="s">
        <v>3116</v>
      </c>
      <c r="H88" s="159" t="s">
        <v>2861</v>
      </c>
    </row>
    <row r="89" spans="1:8" ht="65" x14ac:dyDescent="0.35">
      <c r="A89" t="s">
        <v>3253</v>
      </c>
      <c r="B89" t="s">
        <v>2826</v>
      </c>
      <c r="C89" t="s">
        <v>2855</v>
      </c>
      <c r="D89" t="s">
        <v>2806</v>
      </c>
      <c r="E89" t="s">
        <v>3115</v>
      </c>
      <c r="F89" s="158" t="s">
        <v>3254</v>
      </c>
      <c r="G89" t="s">
        <v>3116</v>
      </c>
      <c r="H89" s="159" t="s">
        <v>2861</v>
      </c>
    </row>
    <row r="90" spans="1:8" ht="65" x14ac:dyDescent="0.35">
      <c r="A90" t="s">
        <v>3255</v>
      </c>
      <c r="B90" t="s">
        <v>2826</v>
      </c>
      <c r="C90" t="s">
        <v>2855</v>
      </c>
      <c r="D90" t="s">
        <v>3126</v>
      </c>
      <c r="E90" t="s">
        <v>3115</v>
      </c>
      <c r="F90" s="158" t="s">
        <v>3256</v>
      </c>
      <c r="G90" t="s">
        <v>3116</v>
      </c>
      <c r="H90" s="159" t="s">
        <v>2861</v>
      </c>
    </row>
    <row r="91" spans="1:8" ht="65" x14ac:dyDescent="0.35">
      <c r="A91" t="s">
        <v>3257</v>
      </c>
      <c r="B91" t="s">
        <v>2826</v>
      </c>
      <c r="C91" t="s">
        <v>2855</v>
      </c>
      <c r="D91" t="s">
        <v>2814</v>
      </c>
      <c r="E91" t="s">
        <v>3115</v>
      </c>
      <c r="F91" s="158" t="s">
        <v>3258</v>
      </c>
      <c r="G91" t="s">
        <v>3116</v>
      </c>
      <c r="H91" s="159" t="s">
        <v>2861</v>
      </c>
    </row>
    <row r="92" spans="1:8" ht="65" x14ac:dyDescent="0.35">
      <c r="A92" t="s">
        <v>3259</v>
      </c>
      <c r="B92" t="s">
        <v>2826</v>
      </c>
      <c r="C92" t="s">
        <v>2855</v>
      </c>
      <c r="D92" t="s">
        <v>3152</v>
      </c>
      <c r="E92" t="s">
        <v>3115</v>
      </c>
      <c r="F92" s="158" t="s">
        <v>3260</v>
      </c>
      <c r="G92" t="s">
        <v>3116</v>
      </c>
      <c r="H92" s="159" t="s">
        <v>2861</v>
      </c>
    </row>
    <row r="93" spans="1:8" ht="65" x14ac:dyDescent="0.35">
      <c r="A93" t="s">
        <v>3261</v>
      </c>
      <c r="B93" t="s">
        <v>2826</v>
      </c>
      <c r="C93" t="s">
        <v>2855</v>
      </c>
      <c r="D93" t="s">
        <v>2822</v>
      </c>
      <c r="E93" t="s">
        <v>3115</v>
      </c>
      <c r="F93" s="158" t="s">
        <v>3262</v>
      </c>
      <c r="G93" t="s">
        <v>3116</v>
      </c>
      <c r="H93" s="159" t="s">
        <v>2861</v>
      </c>
    </row>
    <row r="94" spans="1:8" ht="65" x14ac:dyDescent="0.35">
      <c r="A94" t="s">
        <v>3263</v>
      </c>
      <c r="B94" t="s">
        <v>2826</v>
      </c>
      <c r="C94" t="s">
        <v>2855</v>
      </c>
      <c r="D94" t="s">
        <v>2826</v>
      </c>
      <c r="E94" t="s">
        <v>3115</v>
      </c>
      <c r="F94" s="158" t="s">
        <v>3264</v>
      </c>
      <c r="G94" t="s">
        <v>3116</v>
      </c>
      <c r="H94" s="159" t="s">
        <v>2861</v>
      </c>
    </row>
    <row r="95" spans="1:8" ht="65" x14ac:dyDescent="0.35">
      <c r="A95" t="s">
        <v>3265</v>
      </c>
      <c r="B95" t="s">
        <v>2826</v>
      </c>
      <c r="C95" t="s">
        <v>3118</v>
      </c>
      <c r="D95" t="s">
        <v>2826</v>
      </c>
      <c r="E95" t="s">
        <v>3115</v>
      </c>
      <c r="F95" s="158" t="s">
        <v>3266</v>
      </c>
      <c r="G95" t="s">
        <v>3116</v>
      </c>
      <c r="H95" s="159" t="s">
        <v>2861</v>
      </c>
    </row>
    <row r="96" spans="1:8" ht="65" x14ac:dyDescent="0.35">
      <c r="A96" t="s">
        <v>3267</v>
      </c>
      <c r="B96" t="s">
        <v>2826</v>
      </c>
      <c r="C96" t="s">
        <v>3118</v>
      </c>
      <c r="D96" t="s">
        <v>3207</v>
      </c>
      <c r="E96" t="s">
        <v>3115</v>
      </c>
      <c r="F96" s="158" t="s">
        <v>3268</v>
      </c>
      <c r="G96" t="s">
        <v>3116</v>
      </c>
      <c r="H96" s="159" t="s">
        <v>2861</v>
      </c>
    </row>
    <row r="97" spans="1:8" ht="65" x14ac:dyDescent="0.35">
      <c r="A97" t="s">
        <v>3269</v>
      </c>
      <c r="B97" t="s">
        <v>2826</v>
      </c>
      <c r="C97" t="s">
        <v>3118</v>
      </c>
      <c r="D97" t="s">
        <v>3230</v>
      </c>
      <c r="E97" t="s">
        <v>3115</v>
      </c>
      <c r="F97" s="158" t="s">
        <v>3481</v>
      </c>
      <c r="G97" t="s">
        <v>3116</v>
      </c>
      <c r="H97" s="159" t="s">
        <v>3462</v>
      </c>
    </row>
    <row r="98" spans="1:8" ht="65" x14ac:dyDescent="0.35">
      <c r="A98" t="s">
        <v>3270</v>
      </c>
      <c r="B98" t="s">
        <v>3207</v>
      </c>
      <c r="C98" t="s">
        <v>2855</v>
      </c>
      <c r="D98" t="s">
        <v>2806</v>
      </c>
      <c r="E98" t="s">
        <v>3115</v>
      </c>
      <c r="F98" s="158" t="s">
        <v>3271</v>
      </c>
      <c r="G98" t="s">
        <v>3116</v>
      </c>
      <c r="H98" s="159" t="s">
        <v>2861</v>
      </c>
    </row>
    <row r="99" spans="1:8" ht="65" x14ac:dyDescent="0.35">
      <c r="A99" t="s">
        <v>3272</v>
      </c>
      <c r="B99" t="s">
        <v>3207</v>
      </c>
      <c r="C99" t="s">
        <v>2855</v>
      </c>
      <c r="D99" t="s">
        <v>3126</v>
      </c>
      <c r="E99" t="s">
        <v>3115</v>
      </c>
      <c r="F99" s="158" t="s">
        <v>3273</v>
      </c>
      <c r="G99" t="s">
        <v>3116</v>
      </c>
      <c r="H99" s="159" t="s">
        <v>2861</v>
      </c>
    </row>
    <row r="100" spans="1:8" ht="65" x14ac:dyDescent="0.35">
      <c r="A100" t="s">
        <v>3274</v>
      </c>
      <c r="B100" t="s">
        <v>3207</v>
      </c>
      <c r="C100" t="s">
        <v>2855</v>
      </c>
      <c r="D100" t="s">
        <v>2814</v>
      </c>
      <c r="E100" t="s">
        <v>3115</v>
      </c>
      <c r="F100" s="158" t="s">
        <v>3275</v>
      </c>
      <c r="G100" t="s">
        <v>3116</v>
      </c>
      <c r="H100" s="159" t="s">
        <v>2861</v>
      </c>
    </row>
    <row r="101" spans="1:8" ht="65" x14ac:dyDescent="0.35">
      <c r="A101" t="s">
        <v>3276</v>
      </c>
      <c r="B101" t="s">
        <v>3207</v>
      </c>
      <c r="C101" t="s">
        <v>2855</v>
      </c>
      <c r="D101" t="s">
        <v>3152</v>
      </c>
      <c r="E101" t="s">
        <v>3115</v>
      </c>
      <c r="F101" s="158" t="s">
        <v>3277</v>
      </c>
      <c r="G101" t="s">
        <v>3116</v>
      </c>
      <c r="H101" s="159" t="s">
        <v>2861</v>
      </c>
    </row>
    <row r="102" spans="1:8" ht="65" x14ac:dyDescent="0.35">
      <c r="A102" t="s">
        <v>3278</v>
      </c>
      <c r="B102" t="s">
        <v>3207</v>
      </c>
      <c r="C102" t="s">
        <v>2855</v>
      </c>
      <c r="D102" t="s">
        <v>2822</v>
      </c>
      <c r="E102" t="s">
        <v>3115</v>
      </c>
      <c r="F102" s="158" t="s">
        <v>3279</v>
      </c>
      <c r="G102" t="s">
        <v>3116</v>
      </c>
      <c r="H102" s="159" t="s">
        <v>2861</v>
      </c>
    </row>
    <row r="103" spans="1:8" ht="65" x14ac:dyDescent="0.35">
      <c r="A103" t="s">
        <v>3280</v>
      </c>
      <c r="B103" t="s">
        <v>3207</v>
      </c>
      <c r="C103" t="s">
        <v>2855</v>
      </c>
      <c r="D103" t="s">
        <v>2826</v>
      </c>
      <c r="E103" t="s">
        <v>3115</v>
      </c>
      <c r="F103" s="158" t="s">
        <v>3281</v>
      </c>
      <c r="G103" t="s">
        <v>3116</v>
      </c>
      <c r="H103" s="159" t="s">
        <v>2861</v>
      </c>
    </row>
    <row r="104" spans="1:8" ht="65" x14ac:dyDescent="0.35">
      <c r="A104" t="s">
        <v>3282</v>
      </c>
      <c r="B104" t="s">
        <v>3207</v>
      </c>
      <c r="C104" t="s">
        <v>2855</v>
      </c>
      <c r="D104" t="s">
        <v>3207</v>
      </c>
      <c r="E104" t="s">
        <v>3115</v>
      </c>
      <c r="F104" s="158" t="s">
        <v>3283</v>
      </c>
      <c r="G104" t="s">
        <v>3116</v>
      </c>
      <c r="H104" s="159" t="s">
        <v>2861</v>
      </c>
    </row>
    <row r="105" spans="1:8" ht="65" x14ac:dyDescent="0.35">
      <c r="A105" t="s">
        <v>3284</v>
      </c>
      <c r="B105" t="s">
        <v>3207</v>
      </c>
      <c r="C105" t="s">
        <v>3118</v>
      </c>
      <c r="D105" t="s">
        <v>3207</v>
      </c>
      <c r="E105" t="s">
        <v>3115</v>
      </c>
      <c r="F105" s="158" t="s">
        <v>3285</v>
      </c>
      <c r="G105" t="s">
        <v>3116</v>
      </c>
      <c r="H105" s="159" t="s">
        <v>2861</v>
      </c>
    </row>
    <row r="106" spans="1:8" ht="65" x14ac:dyDescent="0.35">
      <c r="A106" t="s">
        <v>3286</v>
      </c>
      <c r="B106" t="s">
        <v>3207</v>
      </c>
      <c r="C106" t="s">
        <v>3118</v>
      </c>
      <c r="D106" t="s">
        <v>3230</v>
      </c>
      <c r="E106" t="s">
        <v>3115</v>
      </c>
      <c r="F106" s="158" t="s">
        <v>3482</v>
      </c>
      <c r="G106" t="s">
        <v>3116</v>
      </c>
      <c r="H106" s="159" t="s">
        <v>3462</v>
      </c>
    </row>
    <row r="107" spans="1:8" ht="65" x14ac:dyDescent="0.35">
      <c r="A107" t="s">
        <v>3287</v>
      </c>
      <c r="B107" t="s">
        <v>3230</v>
      </c>
      <c r="C107" t="s">
        <v>2855</v>
      </c>
      <c r="D107" t="s">
        <v>2806</v>
      </c>
      <c r="E107" t="s">
        <v>3115</v>
      </c>
      <c r="F107" s="158" t="s">
        <v>3288</v>
      </c>
      <c r="G107" t="s">
        <v>3116</v>
      </c>
      <c r="H107" s="159" t="s">
        <v>2861</v>
      </c>
    </row>
    <row r="108" spans="1:8" ht="65" x14ac:dyDescent="0.35">
      <c r="A108" t="s">
        <v>3289</v>
      </c>
      <c r="B108" t="s">
        <v>3230</v>
      </c>
      <c r="C108" t="s">
        <v>2855</v>
      </c>
      <c r="D108" t="s">
        <v>3126</v>
      </c>
      <c r="E108" t="s">
        <v>3115</v>
      </c>
      <c r="F108" s="158" t="s">
        <v>3290</v>
      </c>
      <c r="G108" t="s">
        <v>3116</v>
      </c>
      <c r="H108" s="159" t="s">
        <v>2861</v>
      </c>
    </row>
    <row r="109" spans="1:8" ht="65" x14ac:dyDescent="0.35">
      <c r="A109" t="s">
        <v>3291</v>
      </c>
      <c r="B109" t="s">
        <v>3230</v>
      </c>
      <c r="C109" t="s">
        <v>2855</v>
      </c>
      <c r="D109" t="s">
        <v>2814</v>
      </c>
      <c r="E109" t="s">
        <v>3115</v>
      </c>
      <c r="F109" s="158" t="s">
        <v>3292</v>
      </c>
      <c r="G109" t="s">
        <v>3116</v>
      </c>
      <c r="H109" s="159" t="s">
        <v>2861</v>
      </c>
    </row>
    <row r="110" spans="1:8" ht="65" x14ac:dyDescent="0.35">
      <c r="A110" t="s">
        <v>3293</v>
      </c>
      <c r="B110" t="s">
        <v>3230</v>
      </c>
      <c r="C110" t="s">
        <v>2855</v>
      </c>
      <c r="D110" t="s">
        <v>3152</v>
      </c>
      <c r="E110" t="s">
        <v>3115</v>
      </c>
      <c r="F110" s="158" t="s">
        <v>3294</v>
      </c>
      <c r="G110" t="s">
        <v>3116</v>
      </c>
      <c r="H110" s="159" t="s">
        <v>2861</v>
      </c>
    </row>
    <row r="111" spans="1:8" ht="65" x14ac:dyDescent="0.35">
      <c r="A111" t="s">
        <v>3295</v>
      </c>
      <c r="B111" t="s">
        <v>3230</v>
      </c>
      <c r="C111" t="s">
        <v>2855</v>
      </c>
      <c r="D111" t="s">
        <v>2822</v>
      </c>
      <c r="E111" t="s">
        <v>3115</v>
      </c>
      <c r="F111" s="158" t="s">
        <v>3296</v>
      </c>
      <c r="G111" t="s">
        <v>3116</v>
      </c>
      <c r="H111" s="159" t="s">
        <v>2861</v>
      </c>
    </row>
    <row r="112" spans="1:8" ht="65" x14ac:dyDescent="0.35">
      <c r="A112" t="s">
        <v>3297</v>
      </c>
      <c r="B112" t="s">
        <v>3230</v>
      </c>
      <c r="C112" t="s">
        <v>2855</v>
      </c>
      <c r="D112" t="s">
        <v>2826</v>
      </c>
      <c r="E112" t="s">
        <v>3115</v>
      </c>
      <c r="F112" s="158" t="s">
        <v>3298</v>
      </c>
      <c r="G112" t="s">
        <v>3116</v>
      </c>
      <c r="H112" s="159" t="s">
        <v>2861</v>
      </c>
    </row>
    <row r="113" spans="1:8" ht="65" x14ac:dyDescent="0.35">
      <c r="A113" t="s">
        <v>3299</v>
      </c>
      <c r="B113" t="s">
        <v>3230</v>
      </c>
      <c r="C113" t="s">
        <v>2855</v>
      </c>
      <c r="D113" t="s">
        <v>3207</v>
      </c>
      <c r="E113" t="s">
        <v>3115</v>
      </c>
      <c r="F113" s="158" t="s">
        <v>3300</v>
      </c>
      <c r="G113" t="s">
        <v>3116</v>
      </c>
      <c r="H113" s="159" t="s">
        <v>2861</v>
      </c>
    </row>
    <row r="114" spans="1:8" ht="65" x14ac:dyDescent="0.35">
      <c r="A114" t="s">
        <v>3301</v>
      </c>
      <c r="B114" t="s">
        <v>3230</v>
      </c>
      <c r="C114" t="s">
        <v>2855</v>
      </c>
      <c r="D114" t="s">
        <v>3230</v>
      </c>
      <c r="E114" t="s">
        <v>3115</v>
      </c>
      <c r="F114" s="158" t="s">
        <v>3483</v>
      </c>
      <c r="G114" t="s">
        <v>3116</v>
      </c>
      <c r="H114" s="159" t="s">
        <v>3462</v>
      </c>
    </row>
    <row r="115" spans="1:8" ht="65" x14ac:dyDescent="0.35">
      <c r="A115" t="s">
        <v>3302</v>
      </c>
      <c r="B115" t="s">
        <v>3230</v>
      </c>
      <c r="C115" t="s">
        <v>3118</v>
      </c>
      <c r="D115" t="s">
        <v>3230</v>
      </c>
      <c r="E115" t="s">
        <v>3115</v>
      </c>
      <c r="F115" s="158" t="s">
        <v>3484</v>
      </c>
      <c r="G115" t="s">
        <v>3116</v>
      </c>
      <c r="H115" s="159" t="s">
        <v>3462</v>
      </c>
    </row>
    <row r="117" spans="1:8" x14ac:dyDescent="0.35">
      <c r="A117" s="156" t="s">
        <v>3303</v>
      </c>
    </row>
    <row r="119" spans="1:8" x14ac:dyDescent="0.35">
      <c r="A119" s="151" t="s">
        <v>3304</v>
      </c>
    </row>
    <row r="120" spans="1:8" x14ac:dyDescent="0.35">
      <c r="A120" t="s">
        <v>3305</v>
      </c>
    </row>
    <row r="121" spans="1:8" x14ac:dyDescent="0.35">
      <c r="A121" t="s">
        <v>3306</v>
      </c>
    </row>
    <row r="122" spans="1:8" x14ac:dyDescent="0.35">
      <c r="A122" t="s">
        <v>3307</v>
      </c>
    </row>
    <row r="123" spans="1:8" x14ac:dyDescent="0.35">
      <c r="A123" t="s">
        <v>3308</v>
      </c>
    </row>
    <row r="124" spans="1:8" x14ac:dyDescent="0.35">
      <c r="A124" t="s">
        <v>3309</v>
      </c>
    </row>
  </sheetData>
  <mergeCells count="5">
    <mergeCell ref="A2:I2"/>
    <mergeCell ref="A11:I11"/>
    <mergeCell ref="A1:I1"/>
    <mergeCell ref="A3:I3"/>
    <mergeCell ref="A4:I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DF07F-EB0C-49F4-938E-C86C3908C58F}">
  <dimension ref="A1:H60"/>
  <sheetViews>
    <sheetView workbookViewId="0">
      <selection activeCell="C14" sqref="C14"/>
    </sheetView>
  </sheetViews>
  <sheetFormatPr defaultRowHeight="14.5" x14ac:dyDescent="0.35"/>
  <sheetData>
    <row r="1" spans="1:8" x14ac:dyDescent="0.35">
      <c r="A1" s="236" t="s">
        <v>3310</v>
      </c>
      <c r="B1" s="182"/>
      <c r="C1" s="182"/>
      <c r="D1" s="182"/>
      <c r="E1" s="182"/>
      <c r="F1" s="182"/>
      <c r="G1" s="182"/>
      <c r="H1" s="182"/>
    </row>
    <row r="2" spans="1:8" ht="18.5" x14ac:dyDescent="0.45">
      <c r="A2" s="234" t="s">
        <v>3311</v>
      </c>
      <c r="B2" s="182"/>
      <c r="C2" s="182"/>
      <c r="D2" s="182"/>
      <c r="E2" s="182"/>
      <c r="F2" s="182"/>
      <c r="G2" s="182"/>
      <c r="H2" s="182"/>
    </row>
    <row r="3" spans="1:8" x14ac:dyDescent="0.35">
      <c r="A3" s="237" t="s">
        <v>3312</v>
      </c>
      <c r="B3" s="182"/>
      <c r="C3" s="182"/>
      <c r="D3" s="182"/>
      <c r="E3" s="182"/>
      <c r="F3" s="182"/>
      <c r="G3" s="182"/>
      <c r="H3" s="182"/>
    </row>
    <row r="4" spans="1:8" ht="14.5" customHeight="1" x14ac:dyDescent="0.35">
      <c r="A4" s="241" t="s">
        <v>3313</v>
      </c>
      <c r="B4" s="182"/>
      <c r="C4" s="182"/>
      <c r="D4" s="182"/>
      <c r="E4" s="182"/>
      <c r="F4" s="182"/>
      <c r="G4" s="182"/>
      <c r="H4" s="182"/>
    </row>
    <row r="6" spans="1:8" x14ac:dyDescent="0.35">
      <c r="A6" s="152" t="s">
        <v>3314</v>
      </c>
    </row>
    <row r="7" spans="1:8" x14ac:dyDescent="0.35">
      <c r="A7" s="152" t="s">
        <v>1</v>
      </c>
      <c r="B7" s="152" t="s">
        <v>208</v>
      </c>
      <c r="C7" s="152" t="s">
        <v>3315</v>
      </c>
    </row>
    <row r="8" spans="1:8" x14ac:dyDescent="0.35">
      <c r="A8" t="s">
        <v>3316</v>
      </c>
      <c r="B8" t="s">
        <v>3317</v>
      </c>
      <c r="C8" t="s">
        <v>3318</v>
      </c>
    </row>
    <row r="9" spans="1:8" x14ac:dyDescent="0.35">
      <c r="A9" t="s">
        <v>3319</v>
      </c>
      <c r="B9" t="s">
        <v>3320</v>
      </c>
      <c r="C9" t="s">
        <v>3321</v>
      </c>
    </row>
    <row r="10" spans="1:8" x14ac:dyDescent="0.35">
      <c r="A10" t="s">
        <v>3070</v>
      </c>
      <c r="B10" t="s">
        <v>3322</v>
      </c>
      <c r="C10" t="s">
        <v>3323</v>
      </c>
    </row>
    <row r="11" spans="1:8" x14ac:dyDescent="0.35">
      <c r="A11" t="s">
        <v>3078</v>
      </c>
      <c r="B11" t="s">
        <v>3324</v>
      </c>
      <c r="C11" t="s">
        <v>3325</v>
      </c>
    </row>
    <row r="12" spans="1:8" x14ac:dyDescent="0.35">
      <c r="A12" t="s">
        <v>3082</v>
      </c>
      <c r="B12" t="s">
        <v>3326</v>
      </c>
      <c r="C12" t="s">
        <v>3327</v>
      </c>
    </row>
    <row r="13" spans="1:8" x14ac:dyDescent="0.35">
      <c r="A13" t="s">
        <v>3328</v>
      </c>
      <c r="B13" t="s">
        <v>3329</v>
      </c>
      <c r="C13" t="s">
        <v>3330</v>
      </c>
    </row>
    <row r="14" spans="1:8" x14ac:dyDescent="0.35">
      <c r="A14" t="s">
        <v>3331</v>
      </c>
      <c r="B14" t="s">
        <v>3332</v>
      </c>
      <c r="C14" t="s">
        <v>3333</v>
      </c>
    </row>
    <row r="15" spans="1:8" x14ac:dyDescent="0.35">
      <c r="A15" t="s">
        <v>3334</v>
      </c>
      <c r="B15" t="s">
        <v>3335</v>
      </c>
      <c r="C15" t="s">
        <v>3336</v>
      </c>
    </row>
    <row r="17" spans="1:8" x14ac:dyDescent="0.35">
      <c r="A17" s="235" t="s">
        <v>3337</v>
      </c>
      <c r="B17" s="182"/>
      <c r="C17" s="182"/>
      <c r="D17" s="182"/>
      <c r="E17" s="182"/>
      <c r="F17" s="182"/>
      <c r="G17" s="182"/>
      <c r="H17" s="182"/>
    </row>
    <row r="18" spans="1:8" x14ac:dyDescent="0.35">
      <c r="A18" s="239" t="s">
        <v>3338</v>
      </c>
      <c r="B18" s="182"/>
      <c r="C18" s="182"/>
      <c r="D18" s="182"/>
      <c r="E18" s="182"/>
      <c r="F18" s="182"/>
      <c r="G18" s="182"/>
      <c r="H18" s="182"/>
    </row>
    <row r="20" spans="1:8" x14ac:dyDescent="0.35">
      <c r="A20" s="153" t="s">
        <v>2843</v>
      </c>
      <c r="B20" s="153" t="s">
        <v>3339</v>
      </c>
      <c r="C20" s="153" t="s">
        <v>190</v>
      </c>
      <c r="D20" s="153" t="s">
        <v>3340</v>
      </c>
      <c r="E20" s="153" t="s">
        <v>1861</v>
      </c>
      <c r="F20" s="153" t="s">
        <v>3341</v>
      </c>
      <c r="G20" s="153" t="s">
        <v>2580</v>
      </c>
      <c r="H20" s="153" t="s">
        <v>3</v>
      </c>
    </row>
    <row r="21" spans="1:8" ht="409.5" x14ac:dyDescent="0.35">
      <c r="A21" t="s">
        <v>3342</v>
      </c>
      <c r="B21" t="s">
        <v>3343</v>
      </c>
      <c r="C21" t="s">
        <v>3344</v>
      </c>
      <c r="D21" s="158" t="s">
        <v>3446</v>
      </c>
      <c r="E21" t="s">
        <v>3345</v>
      </c>
      <c r="F21" t="s">
        <v>3346</v>
      </c>
      <c r="G21" s="159" t="s">
        <v>2861</v>
      </c>
      <c r="H21" t="s">
        <v>3347</v>
      </c>
    </row>
    <row r="22" spans="1:8" ht="409.5" x14ac:dyDescent="0.35">
      <c r="A22" t="s">
        <v>3348</v>
      </c>
      <c r="B22" t="s">
        <v>3349</v>
      </c>
      <c r="C22" t="s">
        <v>3350</v>
      </c>
      <c r="D22" s="158" t="s">
        <v>3447</v>
      </c>
      <c r="E22" t="s">
        <v>3345</v>
      </c>
      <c r="F22" t="s">
        <v>3351</v>
      </c>
      <c r="G22" s="159" t="s">
        <v>2861</v>
      </c>
      <c r="H22" t="s">
        <v>3352</v>
      </c>
    </row>
    <row r="23" spans="1:8" ht="409.5" x14ac:dyDescent="0.35">
      <c r="A23" t="s">
        <v>3353</v>
      </c>
      <c r="B23" t="s">
        <v>3354</v>
      </c>
      <c r="C23" t="s">
        <v>3355</v>
      </c>
      <c r="D23" s="158" t="s">
        <v>3448</v>
      </c>
      <c r="E23" t="s">
        <v>3345</v>
      </c>
      <c r="F23" t="s">
        <v>3356</v>
      </c>
      <c r="G23" s="159" t="s">
        <v>2861</v>
      </c>
      <c r="H23" t="s">
        <v>3357</v>
      </c>
    </row>
    <row r="24" spans="1:8" ht="409.5" x14ac:dyDescent="0.35">
      <c r="A24" t="s">
        <v>3358</v>
      </c>
      <c r="B24" t="s">
        <v>3359</v>
      </c>
      <c r="C24" t="s">
        <v>3360</v>
      </c>
      <c r="D24" s="158" t="s">
        <v>3449</v>
      </c>
      <c r="E24" t="s">
        <v>3361</v>
      </c>
      <c r="F24" t="s">
        <v>3362</v>
      </c>
      <c r="G24" s="159" t="s">
        <v>2861</v>
      </c>
      <c r="H24" t="s">
        <v>3363</v>
      </c>
    </row>
    <row r="25" spans="1:8" ht="409.5" x14ac:dyDescent="0.35">
      <c r="A25" t="s">
        <v>3364</v>
      </c>
      <c r="B25" t="s">
        <v>3365</v>
      </c>
      <c r="C25" t="s">
        <v>3366</v>
      </c>
      <c r="D25" s="158" t="s">
        <v>3450</v>
      </c>
      <c r="E25" t="s">
        <v>3361</v>
      </c>
      <c r="F25" t="s">
        <v>3367</v>
      </c>
      <c r="G25" s="159" t="s">
        <v>2861</v>
      </c>
      <c r="H25" t="s">
        <v>3368</v>
      </c>
    </row>
    <row r="27" spans="1:8" x14ac:dyDescent="0.35">
      <c r="A27" s="238" t="s">
        <v>3369</v>
      </c>
      <c r="B27" s="182"/>
      <c r="C27" s="182"/>
      <c r="D27" s="182"/>
      <c r="E27" s="182"/>
      <c r="F27" s="182"/>
      <c r="G27" s="182"/>
      <c r="H27" s="182"/>
    </row>
    <row r="28" spans="1:8" x14ac:dyDescent="0.35">
      <c r="A28" s="239" t="s">
        <v>3370</v>
      </c>
      <c r="B28" s="182"/>
      <c r="C28" s="182"/>
      <c r="D28" s="182"/>
      <c r="E28" s="182"/>
      <c r="F28" s="182"/>
      <c r="G28" s="182"/>
      <c r="H28" s="182"/>
    </row>
    <row r="30" spans="1:8" x14ac:dyDescent="0.35">
      <c r="A30" s="154" t="s">
        <v>2843</v>
      </c>
      <c r="B30" s="154" t="s">
        <v>3339</v>
      </c>
      <c r="C30" s="154" t="s">
        <v>190</v>
      </c>
      <c r="D30" s="154" t="s">
        <v>3340</v>
      </c>
      <c r="E30" s="154" t="s">
        <v>1861</v>
      </c>
      <c r="F30" s="154" t="s">
        <v>3341</v>
      </c>
      <c r="G30" s="154" t="s">
        <v>2580</v>
      </c>
      <c r="H30" s="154" t="s">
        <v>3</v>
      </c>
    </row>
    <row r="31" spans="1:8" ht="409.5" x14ac:dyDescent="0.35">
      <c r="A31" t="s">
        <v>3371</v>
      </c>
      <c r="B31" t="s">
        <v>3372</v>
      </c>
      <c r="C31" t="s">
        <v>3373</v>
      </c>
      <c r="D31" s="158" t="s">
        <v>3451</v>
      </c>
      <c r="E31" t="s">
        <v>3374</v>
      </c>
      <c r="F31" t="s">
        <v>3375</v>
      </c>
      <c r="G31" s="159" t="s">
        <v>2861</v>
      </c>
      <c r="H31" t="s">
        <v>3376</v>
      </c>
    </row>
    <row r="32" spans="1:8" ht="409.5" x14ac:dyDescent="0.35">
      <c r="A32" t="s">
        <v>3377</v>
      </c>
      <c r="B32" t="s">
        <v>3378</v>
      </c>
      <c r="C32" t="s">
        <v>3379</v>
      </c>
      <c r="D32" s="158" t="s">
        <v>3452</v>
      </c>
      <c r="E32" t="s">
        <v>3374</v>
      </c>
      <c r="F32" t="s">
        <v>3380</v>
      </c>
      <c r="G32" s="159" t="s">
        <v>2861</v>
      </c>
      <c r="H32" t="s">
        <v>3381</v>
      </c>
    </row>
    <row r="33" spans="1:8" ht="409.5" x14ac:dyDescent="0.35">
      <c r="A33" t="s">
        <v>3382</v>
      </c>
      <c r="B33" t="s">
        <v>3383</v>
      </c>
      <c r="C33" t="s">
        <v>3384</v>
      </c>
      <c r="D33" s="158" t="s">
        <v>3453</v>
      </c>
      <c r="E33" t="s">
        <v>3374</v>
      </c>
      <c r="F33" t="s">
        <v>3385</v>
      </c>
      <c r="G33" s="159" t="s">
        <v>2861</v>
      </c>
      <c r="H33" t="s">
        <v>3386</v>
      </c>
    </row>
    <row r="34" spans="1:8" ht="409.5" x14ac:dyDescent="0.35">
      <c r="A34" t="s">
        <v>3387</v>
      </c>
      <c r="B34" t="s">
        <v>3388</v>
      </c>
      <c r="C34" t="s">
        <v>3389</v>
      </c>
      <c r="D34" s="158" t="s">
        <v>3454</v>
      </c>
      <c r="E34" t="s">
        <v>3374</v>
      </c>
      <c r="F34" t="s">
        <v>3390</v>
      </c>
      <c r="G34" s="159" t="s">
        <v>2861</v>
      </c>
      <c r="H34" t="s">
        <v>3391</v>
      </c>
    </row>
    <row r="35" spans="1:8" ht="409.5" x14ac:dyDescent="0.35">
      <c r="A35" t="s">
        <v>3392</v>
      </c>
      <c r="B35" t="s">
        <v>3393</v>
      </c>
      <c r="C35" t="s">
        <v>3394</v>
      </c>
      <c r="D35" s="158" t="s">
        <v>3455</v>
      </c>
      <c r="E35" t="s">
        <v>3374</v>
      </c>
      <c r="F35" t="s">
        <v>3395</v>
      </c>
      <c r="G35" s="159" t="s">
        <v>2861</v>
      </c>
      <c r="H35" t="s">
        <v>3396</v>
      </c>
    </row>
    <row r="37" spans="1:8" x14ac:dyDescent="0.35">
      <c r="A37" s="240" t="s">
        <v>3397</v>
      </c>
      <c r="B37" s="182"/>
      <c r="C37" s="182"/>
      <c r="D37" s="182"/>
      <c r="E37" s="182"/>
      <c r="F37" s="182"/>
      <c r="G37" s="182"/>
      <c r="H37" s="182"/>
    </row>
    <row r="38" spans="1:8" x14ac:dyDescent="0.35">
      <c r="A38" s="239" t="s">
        <v>3398</v>
      </c>
      <c r="B38" s="182"/>
      <c r="C38" s="182"/>
      <c r="D38" s="182"/>
      <c r="E38" s="182"/>
      <c r="F38" s="182"/>
      <c r="G38" s="182"/>
      <c r="H38" s="182"/>
    </row>
    <row r="40" spans="1:8" x14ac:dyDescent="0.35">
      <c r="A40" s="155" t="s">
        <v>2843</v>
      </c>
      <c r="B40" s="155" t="s">
        <v>3339</v>
      </c>
      <c r="C40" s="155" t="s">
        <v>190</v>
      </c>
      <c r="D40" s="155" t="s">
        <v>3340</v>
      </c>
      <c r="E40" s="155" t="s">
        <v>1861</v>
      </c>
      <c r="F40" s="155" t="s">
        <v>3341</v>
      </c>
      <c r="G40" s="155" t="s">
        <v>2580</v>
      </c>
      <c r="H40" s="155" t="s">
        <v>3</v>
      </c>
    </row>
    <row r="41" spans="1:8" ht="409.5" x14ac:dyDescent="0.35">
      <c r="A41" t="s">
        <v>3399</v>
      </c>
      <c r="B41" t="s">
        <v>3343</v>
      </c>
      <c r="C41" t="s">
        <v>3400</v>
      </c>
      <c r="D41" s="158" t="s">
        <v>3456</v>
      </c>
      <c r="E41" t="s">
        <v>3401</v>
      </c>
      <c r="F41" t="s">
        <v>3402</v>
      </c>
      <c r="G41" s="159" t="s">
        <v>2861</v>
      </c>
      <c r="H41" t="s">
        <v>3403</v>
      </c>
    </row>
    <row r="42" spans="1:8" ht="409.5" x14ac:dyDescent="0.35">
      <c r="A42" t="s">
        <v>3404</v>
      </c>
      <c r="B42" t="s">
        <v>3405</v>
      </c>
      <c r="C42" t="s">
        <v>3406</v>
      </c>
      <c r="D42" s="158" t="s">
        <v>3457</v>
      </c>
      <c r="E42" t="s">
        <v>3401</v>
      </c>
      <c r="F42" t="s">
        <v>3407</v>
      </c>
      <c r="G42" s="159" t="s">
        <v>2861</v>
      </c>
      <c r="H42" t="s">
        <v>3408</v>
      </c>
    </row>
    <row r="43" spans="1:8" ht="409.5" x14ac:dyDescent="0.35">
      <c r="A43" t="s">
        <v>3409</v>
      </c>
      <c r="B43" t="s">
        <v>3354</v>
      </c>
      <c r="C43" t="s">
        <v>3410</v>
      </c>
      <c r="D43" s="158" t="s">
        <v>3411</v>
      </c>
      <c r="E43" t="s">
        <v>3412</v>
      </c>
      <c r="F43" t="s">
        <v>3413</v>
      </c>
      <c r="G43" s="159" t="s">
        <v>2861</v>
      </c>
      <c r="H43" t="s">
        <v>3414</v>
      </c>
    </row>
    <row r="44" spans="1:8" ht="409.5" x14ac:dyDescent="0.35">
      <c r="A44" t="s">
        <v>3415</v>
      </c>
      <c r="B44" t="s">
        <v>3388</v>
      </c>
      <c r="C44" t="s">
        <v>3416</v>
      </c>
      <c r="D44" s="158" t="s">
        <v>3458</v>
      </c>
      <c r="E44" t="s">
        <v>3417</v>
      </c>
      <c r="F44" t="s">
        <v>3418</v>
      </c>
      <c r="G44" s="159" t="s">
        <v>2861</v>
      </c>
      <c r="H44" t="s">
        <v>3419</v>
      </c>
    </row>
    <row r="45" spans="1:8" ht="409.5" x14ac:dyDescent="0.35">
      <c r="A45" t="s">
        <v>3420</v>
      </c>
      <c r="B45" t="s">
        <v>3393</v>
      </c>
      <c r="C45" t="s">
        <v>3421</v>
      </c>
      <c r="D45" s="158" t="s">
        <v>3459</v>
      </c>
      <c r="E45" t="s">
        <v>3417</v>
      </c>
      <c r="F45" t="s">
        <v>3422</v>
      </c>
      <c r="G45" s="159" t="s">
        <v>2861</v>
      </c>
      <c r="H45" t="s">
        <v>3423</v>
      </c>
    </row>
    <row r="47" spans="1:8" x14ac:dyDescent="0.35">
      <c r="A47" s="156" t="s">
        <v>3424</v>
      </c>
    </row>
    <row r="48" spans="1:8" x14ac:dyDescent="0.35">
      <c r="A48" t="s">
        <v>3425</v>
      </c>
    </row>
    <row r="49" spans="1:1" x14ac:dyDescent="0.35">
      <c r="A49" t="s">
        <v>3426</v>
      </c>
    </row>
    <row r="50" spans="1:1" x14ac:dyDescent="0.35">
      <c r="A50" t="s">
        <v>3427</v>
      </c>
    </row>
    <row r="51" spans="1:1" x14ac:dyDescent="0.35">
      <c r="A51" t="s">
        <v>3428</v>
      </c>
    </row>
    <row r="52" spans="1:1" x14ac:dyDescent="0.35">
      <c r="A52" t="s">
        <v>3429</v>
      </c>
    </row>
    <row r="53" spans="1:1" x14ac:dyDescent="0.35">
      <c r="A53" t="s">
        <v>3430</v>
      </c>
    </row>
    <row r="55" spans="1:1" x14ac:dyDescent="0.35">
      <c r="A55" s="157" t="s">
        <v>3431</v>
      </c>
    </row>
    <row r="56" spans="1:1" x14ac:dyDescent="0.35">
      <c r="A56" t="s">
        <v>3432</v>
      </c>
    </row>
    <row r="57" spans="1:1" x14ac:dyDescent="0.35">
      <c r="A57" t="s">
        <v>3433</v>
      </c>
    </row>
    <row r="58" spans="1:1" x14ac:dyDescent="0.35">
      <c r="A58" t="s">
        <v>3434</v>
      </c>
    </row>
    <row r="59" spans="1:1" x14ac:dyDescent="0.35">
      <c r="A59" t="s">
        <v>3435</v>
      </c>
    </row>
    <row r="60" spans="1:1" x14ac:dyDescent="0.35">
      <c r="A60" t="s">
        <v>3436</v>
      </c>
    </row>
  </sheetData>
  <mergeCells count="10">
    <mergeCell ref="A27:H27"/>
    <mergeCell ref="A28:H28"/>
    <mergeCell ref="A37:H37"/>
    <mergeCell ref="A38:H38"/>
    <mergeCell ref="A1:H1"/>
    <mergeCell ref="A2:H2"/>
    <mergeCell ref="A3:H3"/>
    <mergeCell ref="A4:H4"/>
    <mergeCell ref="A17:H17"/>
    <mergeCell ref="A18:H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F46B-DAC6-4560-8A35-FEDB15A7B2F2}">
  <dimension ref="A1:L85"/>
  <sheetViews>
    <sheetView workbookViewId="0">
      <selection activeCell="C14" sqref="C14"/>
    </sheetView>
  </sheetViews>
  <sheetFormatPr defaultRowHeight="14.5" x14ac:dyDescent="0.35"/>
  <sheetData>
    <row r="1" spans="1:12" x14ac:dyDescent="0.35">
      <c r="A1" s="243" t="s">
        <v>2786</v>
      </c>
      <c r="B1" s="182"/>
      <c r="C1" s="182"/>
      <c r="D1" s="182"/>
      <c r="E1" s="182"/>
      <c r="F1" s="182"/>
      <c r="G1" s="182"/>
      <c r="H1" s="182"/>
      <c r="I1" s="182"/>
      <c r="J1" s="182"/>
      <c r="K1" s="182"/>
      <c r="L1" s="182"/>
    </row>
    <row r="2" spans="1:12" ht="16" customHeight="1" x14ac:dyDescent="0.35">
      <c r="A2" s="245" t="s">
        <v>2787</v>
      </c>
      <c r="B2" s="182"/>
      <c r="C2" s="182"/>
      <c r="D2" s="182"/>
      <c r="E2" s="182"/>
      <c r="F2" s="182"/>
      <c r="G2" s="182"/>
      <c r="H2" s="182"/>
      <c r="I2" s="182"/>
      <c r="J2" s="182"/>
      <c r="K2" s="182"/>
      <c r="L2" s="182"/>
    </row>
    <row r="3" spans="1:12" x14ac:dyDescent="0.35">
      <c r="A3" s="244" t="s">
        <v>2788</v>
      </c>
      <c r="B3" s="182"/>
      <c r="C3" s="182"/>
      <c r="D3" s="182"/>
      <c r="E3" s="182"/>
      <c r="F3" s="182"/>
      <c r="G3" s="182"/>
      <c r="H3" s="182"/>
      <c r="I3" s="182"/>
      <c r="J3" s="182"/>
      <c r="K3" s="182"/>
      <c r="L3" s="182"/>
    </row>
    <row r="4" spans="1:12" x14ac:dyDescent="0.35">
      <c r="A4" s="241" t="s">
        <v>2789</v>
      </c>
      <c r="B4" s="182"/>
      <c r="C4" s="182"/>
      <c r="D4" s="182"/>
      <c r="E4" s="182"/>
      <c r="F4" s="182"/>
      <c r="G4" s="182"/>
      <c r="H4" s="182"/>
      <c r="I4" s="182"/>
      <c r="J4" s="182"/>
      <c r="K4" s="182"/>
      <c r="L4" s="182"/>
    </row>
    <row r="6" spans="1:12" x14ac:dyDescent="0.35">
      <c r="A6" s="242" t="s">
        <v>2790</v>
      </c>
      <c r="B6" s="182"/>
      <c r="C6" s="182"/>
      <c r="D6" s="182"/>
      <c r="E6" s="182"/>
      <c r="F6" s="182"/>
      <c r="G6" s="182"/>
      <c r="H6" s="182"/>
      <c r="I6" s="182"/>
      <c r="J6" s="182"/>
      <c r="K6" s="182"/>
      <c r="L6" s="182"/>
    </row>
    <row r="7" spans="1:12" x14ac:dyDescent="0.35">
      <c r="A7" s="148" t="s">
        <v>2791</v>
      </c>
      <c r="B7" s="148" t="s">
        <v>251</v>
      </c>
      <c r="C7" s="148" t="s">
        <v>2792</v>
      </c>
      <c r="D7" s="148" t="s">
        <v>2793</v>
      </c>
      <c r="E7" s="148" t="s">
        <v>2794</v>
      </c>
    </row>
    <row r="8" spans="1:12" x14ac:dyDescent="0.35">
      <c r="A8" t="s">
        <v>204</v>
      </c>
      <c r="B8" t="s">
        <v>2795</v>
      </c>
      <c r="C8" t="s">
        <v>2796</v>
      </c>
      <c r="D8" t="s">
        <v>2797</v>
      </c>
      <c r="E8" t="s">
        <v>2798</v>
      </c>
    </row>
    <row r="9" spans="1:12" x14ac:dyDescent="0.35">
      <c r="A9" t="s">
        <v>204</v>
      </c>
      <c r="B9" t="s">
        <v>2799</v>
      </c>
      <c r="C9" t="s">
        <v>2800</v>
      </c>
      <c r="D9" t="s">
        <v>2801</v>
      </c>
      <c r="E9" t="s">
        <v>2798</v>
      </c>
    </row>
    <row r="10" spans="1:12" x14ac:dyDescent="0.35">
      <c r="A10" t="s">
        <v>201</v>
      </c>
      <c r="B10" t="s">
        <v>2802</v>
      </c>
      <c r="C10" t="s">
        <v>2803</v>
      </c>
      <c r="D10" t="s">
        <v>2804</v>
      </c>
      <c r="E10" t="s">
        <v>2805</v>
      </c>
    </row>
    <row r="11" spans="1:12" x14ac:dyDescent="0.35">
      <c r="A11" t="s">
        <v>201</v>
      </c>
      <c r="B11" t="s">
        <v>2806</v>
      </c>
      <c r="C11" t="s">
        <v>2807</v>
      </c>
      <c r="D11" t="s">
        <v>2808</v>
      </c>
      <c r="E11" t="s">
        <v>2809</v>
      </c>
    </row>
    <row r="12" spans="1:12" x14ac:dyDescent="0.35">
      <c r="A12" t="s">
        <v>198</v>
      </c>
      <c r="B12" t="s">
        <v>2810</v>
      </c>
      <c r="C12" t="s">
        <v>2811</v>
      </c>
      <c r="D12" t="s">
        <v>2812</v>
      </c>
      <c r="E12" t="s">
        <v>2813</v>
      </c>
    </row>
    <row r="13" spans="1:12" x14ac:dyDescent="0.35">
      <c r="A13" t="s">
        <v>198</v>
      </c>
      <c r="B13" t="s">
        <v>2814</v>
      </c>
      <c r="C13" t="s">
        <v>2815</v>
      </c>
      <c r="D13" t="s">
        <v>2816</v>
      </c>
      <c r="E13" t="s">
        <v>2817</v>
      </c>
    </row>
    <row r="14" spans="1:12" x14ac:dyDescent="0.35">
      <c r="A14" t="s">
        <v>198</v>
      </c>
      <c r="B14" t="s">
        <v>2818</v>
      </c>
      <c r="C14" t="s">
        <v>2819</v>
      </c>
      <c r="D14" t="s">
        <v>2820</v>
      </c>
      <c r="E14" t="s">
        <v>2821</v>
      </c>
    </row>
    <row r="15" spans="1:12" x14ac:dyDescent="0.35">
      <c r="A15" t="s">
        <v>195</v>
      </c>
      <c r="B15" t="s">
        <v>2822</v>
      </c>
      <c r="C15" t="s">
        <v>2823</v>
      </c>
      <c r="D15" t="s">
        <v>2824</v>
      </c>
      <c r="E15" t="s">
        <v>2825</v>
      </c>
    </row>
    <row r="16" spans="1:12" x14ac:dyDescent="0.35">
      <c r="A16" t="s">
        <v>195</v>
      </c>
      <c r="B16" t="s">
        <v>2826</v>
      </c>
      <c r="C16" t="s">
        <v>2827</v>
      </c>
      <c r="D16" t="s">
        <v>2828</v>
      </c>
      <c r="E16" t="s">
        <v>2805</v>
      </c>
    </row>
    <row r="17" spans="1:12" x14ac:dyDescent="0.35">
      <c r="A17" t="s">
        <v>192</v>
      </c>
      <c r="B17" t="s">
        <v>2829</v>
      </c>
      <c r="C17" t="s">
        <v>2830</v>
      </c>
      <c r="D17" t="s">
        <v>2831</v>
      </c>
      <c r="E17" t="s">
        <v>2832</v>
      </c>
    </row>
    <row r="18" spans="1:12" x14ac:dyDescent="0.35">
      <c r="A18" t="s">
        <v>192</v>
      </c>
      <c r="B18" t="s">
        <v>2833</v>
      </c>
      <c r="C18" t="s">
        <v>2834</v>
      </c>
      <c r="D18" t="s">
        <v>2835</v>
      </c>
      <c r="E18" t="s">
        <v>2836</v>
      </c>
    </row>
    <row r="20" spans="1:12" x14ac:dyDescent="0.35">
      <c r="A20" s="242" t="s">
        <v>2837</v>
      </c>
      <c r="B20" s="182"/>
      <c r="C20" s="182"/>
      <c r="D20" s="182"/>
      <c r="E20" s="182"/>
      <c r="F20" s="182"/>
      <c r="G20" s="182"/>
      <c r="H20" s="182"/>
      <c r="I20" s="182"/>
      <c r="J20" s="182"/>
      <c r="K20" s="182"/>
      <c r="L20" s="182"/>
    </row>
    <row r="21" spans="1:12" x14ac:dyDescent="0.35">
      <c r="A21" t="s">
        <v>2838</v>
      </c>
    </row>
    <row r="22" spans="1:12" x14ac:dyDescent="0.35">
      <c r="A22" t="s">
        <v>2839</v>
      </c>
    </row>
    <row r="23" spans="1:12" x14ac:dyDescent="0.35">
      <c r="A23" s="241" t="s">
        <v>2840</v>
      </c>
      <c r="B23" s="182"/>
      <c r="C23" s="182"/>
      <c r="D23" s="182"/>
      <c r="E23" s="182"/>
      <c r="F23" s="182"/>
      <c r="G23" s="182"/>
      <c r="H23" s="182"/>
      <c r="I23" s="182"/>
      <c r="J23" s="182"/>
      <c r="K23" s="182"/>
      <c r="L23" s="182"/>
    </row>
    <row r="25" spans="1:12" x14ac:dyDescent="0.35">
      <c r="A25" s="242" t="s">
        <v>2841</v>
      </c>
      <c r="B25" s="182"/>
      <c r="C25" s="182"/>
      <c r="D25" s="182"/>
      <c r="E25" s="182"/>
      <c r="F25" s="182"/>
      <c r="G25" s="182"/>
      <c r="H25" s="182"/>
      <c r="I25" s="182"/>
      <c r="J25" s="182"/>
      <c r="K25" s="182"/>
      <c r="L25" s="182"/>
    </row>
    <row r="26" spans="1:12" x14ac:dyDescent="0.35">
      <c r="A26" s="241" t="s">
        <v>2842</v>
      </c>
      <c r="B26" s="182"/>
      <c r="C26" s="182"/>
      <c r="D26" s="182"/>
      <c r="E26" s="182"/>
      <c r="F26" s="182"/>
      <c r="G26" s="182"/>
      <c r="H26" s="182"/>
      <c r="I26" s="182"/>
      <c r="J26" s="182"/>
      <c r="K26" s="182"/>
      <c r="L26" s="182"/>
    </row>
    <row r="28" spans="1:12" x14ac:dyDescent="0.35">
      <c r="A28" s="148" t="s">
        <v>2843</v>
      </c>
      <c r="B28" s="148" t="s">
        <v>2844</v>
      </c>
      <c r="C28" s="148" t="s">
        <v>2845</v>
      </c>
      <c r="D28" s="148" t="s">
        <v>322</v>
      </c>
      <c r="E28" s="148" t="s">
        <v>190</v>
      </c>
      <c r="F28" s="148" t="s">
        <v>2846</v>
      </c>
      <c r="G28" s="148" t="s">
        <v>2847</v>
      </c>
      <c r="H28" s="148" t="s">
        <v>2848</v>
      </c>
      <c r="I28" s="148" t="s">
        <v>2849</v>
      </c>
      <c r="J28" s="148" t="s">
        <v>2850</v>
      </c>
      <c r="K28" s="148" t="s">
        <v>2851</v>
      </c>
      <c r="L28" s="148" t="s">
        <v>2852</v>
      </c>
    </row>
    <row r="29" spans="1:12" ht="409.5" customHeight="1" x14ac:dyDescent="0.35">
      <c r="A29" t="s">
        <v>2853</v>
      </c>
      <c r="B29" t="s">
        <v>2854</v>
      </c>
      <c r="C29" t="s">
        <v>2795</v>
      </c>
      <c r="D29" t="s">
        <v>2855</v>
      </c>
      <c r="E29" t="s">
        <v>2856</v>
      </c>
      <c r="F29" t="s">
        <v>2857</v>
      </c>
      <c r="G29" s="158" t="s">
        <v>3443</v>
      </c>
      <c r="H29" s="149" t="s">
        <v>2858</v>
      </c>
      <c r="I29" t="s">
        <v>2859</v>
      </c>
      <c r="J29" t="s">
        <v>2860</v>
      </c>
      <c r="K29" s="150" t="s">
        <v>2861</v>
      </c>
      <c r="L29" t="s">
        <v>2862</v>
      </c>
    </row>
    <row r="30" spans="1:12" ht="409.5" customHeight="1" x14ac:dyDescent="0.35">
      <c r="A30" t="s">
        <v>2863</v>
      </c>
      <c r="B30" t="s">
        <v>2854</v>
      </c>
      <c r="C30" t="s">
        <v>2799</v>
      </c>
      <c r="D30" t="s">
        <v>2855</v>
      </c>
      <c r="E30" t="s">
        <v>2864</v>
      </c>
      <c r="F30" t="s">
        <v>2795</v>
      </c>
      <c r="G30" s="149" t="s">
        <v>2865</v>
      </c>
      <c r="H30" s="149" t="s">
        <v>2866</v>
      </c>
      <c r="I30" t="s">
        <v>2859</v>
      </c>
      <c r="J30" t="s">
        <v>2860</v>
      </c>
      <c r="K30" s="150" t="s">
        <v>2861</v>
      </c>
      <c r="L30" t="s">
        <v>2867</v>
      </c>
    </row>
    <row r="31" spans="1:12" ht="409.5" customHeight="1" x14ac:dyDescent="0.35">
      <c r="A31" t="s">
        <v>2868</v>
      </c>
      <c r="B31" t="s">
        <v>2854</v>
      </c>
      <c r="C31" t="s">
        <v>2802</v>
      </c>
      <c r="D31" t="s">
        <v>2855</v>
      </c>
      <c r="E31" t="s">
        <v>2869</v>
      </c>
      <c r="F31" t="s">
        <v>2870</v>
      </c>
      <c r="G31" s="149" t="s">
        <v>2871</v>
      </c>
      <c r="H31" s="149" t="s">
        <v>2872</v>
      </c>
      <c r="I31" t="s">
        <v>2859</v>
      </c>
      <c r="J31" t="s">
        <v>2860</v>
      </c>
      <c r="K31" s="150" t="s">
        <v>2861</v>
      </c>
      <c r="L31" t="s">
        <v>2873</v>
      </c>
    </row>
    <row r="32" spans="1:12" ht="409.5" customHeight="1" x14ac:dyDescent="0.35">
      <c r="A32" t="s">
        <v>2874</v>
      </c>
      <c r="B32" t="s">
        <v>2854</v>
      </c>
      <c r="C32" t="s">
        <v>2806</v>
      </c>
      <c r="D32" t="s">
        <v>2855</v>
      </c>
      <c r="E32" t="s">
        <v>2875</v>
      </c>
      <c r="F32" t="s">
        <v>2876</v>
      </c>
      <c r="G32" s="149" t="s">
        <v>2877</v>
      </c>
      <c r="H32" s="149" t="s">
        <v>2878</v>
      </c>
      <c r="I32" t="s">
        <v>2859</v>
      </c>
      <c r="J32" t="s">
        <v>2860</v>
      </c>
      <c r="K32" s="150" t="s">
        <v>2861</v>
      </c>
      <c r="L32" t="s">
        <v>2879</v>
      </c>
    </row>
    <row r="33" spans="1:12" ht="409.5" customHeight="1" x14ac:dyDescent="0.35">
      <c r="A33" t="s">
        <v>2880</v>
      </c>
      <c r="B33" t="s">
        <v>2854</v>
      </c>
      <c r="C33" t="s">
        <v>2810</v>
      </c>
      <c r="D33" t="s">
        <v>2855</v>
      </c>
      <c r="E33" t="s">
        <v>2881</v>
      </c>
      <c r="F33" t="s">
        <v>2882</v>
      </c>
      <c r="G33" s="149" t="s">
        <v>2883</v>
      </c>
      <c r="H33" s="149" t="s">
        <v>2884</v>
      </c>
      <c r="I33" t="s">
        <v>2859</v>
      </c>
      <c r="J33" t="s">
        <v>2860</v>
      </c>
      <c r="K33" s="150" t="s">
        <v>2861</v>
      </c>
      <c r="L33" t="s">
        <v>2885</v>
      </c>
    </row>
    <row r="34" spans="1:12" ht="409.5" customHeight="1" x14ac:dyDescent="0.35">
      <c r="A34" t="s">
        <v>2886</v>
      </c>
      <c r="B34" t="s">
        <v>2854</v>
      </c>
      <c r="C34" t="s">
        <v>2814</v>
      </c>
      <c r="D34" t="s">
        <v>2855</v>
      </c>
      <c r="E34" t="s">
        <v>2887</v>
      </c>
      <c r="F34" t="s">
        <v>2888</v>
      </c>
      <c r="G34" s="149" t="s">
        <v>2889</v>
      </c>
      <c r="H34" s="149" t="s">
        <v>2890</v>
      </c>
      <c r="I34" t="s">
        <v>2859</v>
      </c>
      <c r="J34" t="s">
        <v>2860</v>
      </c>
      <c r="K34" s="150" t="s">
        <v>2861</v>
      </c>
      <c r="L34" t="s">
        <v>2891</v>
      </c>
    </row>
    <row r="35" spans="1:12" ht="409.5" customHeight="1" x14ac:dyDescent="0.35">
      <c r="A35" t="s">
        <v>2892</v>
      </c>
      <c r="B35" t="s">
        <v>2854</v>
      </c>
      <c r="C35" t="s">
        <v>2818</v>
      </c>
      <c r="D35" t="s">
        <v>2855</v>
      </c>
      <c r="E35" t="s">
        <v>2893</v>
      </c>
      <c r="F35" t="s">
        <v>2894</v>
      </c>
      <c r="G35" s="149" t="s">
        <v>2895</v>
      </c>
      <c r="H35" s="149" t="s">
        <v>2896</v>
      </c>
      <c r="I35" t="s">
        <v>2859</v>
      </c>
      <c r="J35" t="s">
        <v>2860</v>
      </c>
      <c r="K35" s="150" t="s">
        <v>2861</v>
      </c>
      <c r="L35" t="s">
        <v>2897</v>
      </c>
    </row>
    <row r="36" spans="1:12" ht="409.5" customHeight="1" x14ac:dyDescent="0.35">
      <c r="A36" t="s">
        <v>2898</v>
      </c>
      <c r="B36" t="s">
        <v>2854</v>
      </c>
      <c r="C36" t="s">
        <v>2822</v>
      </c>
      <c r="D36" t="s">
        <v>2855</v>
      </c>
      <c r="E36" t="s">
        <v>2899</v>
      </c>
      <c r="F36" t="s">
        <v>2900</v>
      </c>
      <c r="G36" s="149" t="s">
        <v>2901</v>
      </c>
      <c r="H36" s="149" t="s">
        <v>2902</v>
      </c>
      <c r="I36" t="s">
        <v>2859</v>
      </c>
      <c r="J36" t="s">
        <v>2860</v>
      </c>
      <c r="K36" s="150" t="s">
        <v>2861</v>
      </c>
      <c r="L36" t="s">
        <v>2903</v>
      </c>
    </row>
    <row r="37" spans="1:12" ht="409.5" customHeight="1" x14ac:dyDescent="0.35">
      <c r="A37" t="s">
        <v>2904</v>
      </c>
      <c r="B37" t="s">
        <v>2854</v>
      </c>
      <c r="C37" t="s">
        <v>2826</v>
      </c>
      <c r="D37" t="s">
        <v>2855</v>
      </c>
      <c r="E37" t="s">
        <v>2905</v>
      </c>
      <c r="F37" t="s">
        <v>2906</v>
      </c>
      <c r="G37" s="149" t="s">
        <v>2907</v>
      </c>
      <c r="H37" s="149" t="s">
        <v>2908</v>
      </c>
      <c r="I37" t="s">
        <v>2859</v>
      </c>
      <c r="J37" t="s">
        <v>2860</v>
      </c>
      <c r="K37" s="150" t="s">
        <v>2861</v>
      </c>
      <c r="L37" t="s">
        <v>2909</v>
      </c>
    </row>
    <row r="38" spans="1:12" ht="409.5" customHeight="1" x14ac:dyDescent="0.35">
      <c r="A38" t="s">
        <v>2910</v>
      </c>
      <c r="B38" t="s">
        <v>2854</v>
      </c>
      <c r="C38" t="s">
        <v>2829</v>
      </c>
      <c r="D38" t="s">
        <v>2855</v>
      </c>
      <c r="E38" t="s">
        <v>2911</v>
      </c>
      <c r="F38" t="s">
        <v>2912</v>
      </c>
      <c r="G38" s="149" t="s">
        <v>2913</v>
      </c>
      <c r="H38" s="149" t="s">
        <v>2914</v>
      </c>
      <c r="I38" t="s">
        <v>2859</v>
      </c>
      <c r="J38" t="s">
        <v>2860</v>
      </c>
      <c r="K38" s="150" t="s">
        <v>2861</v>
      </c>
      <c r="L38" t="s">
        <v>2915</v>
      </c>
    </row>
    <row r="39" spans="1:12" ht="409.5" customHeight="1" x14ac:dyDescent="0.35">
      <c r="A39" t="s">
        <v>2916</v>
      </c>
      <c r="B39" t="s">
        <v>2854</v>
      </c>
      <c r="C39" t="s">
        <v>2833</v>
      </c>
      <c r="D39" t="s">
        <v>2855</v>
      </c>
      <c r="E39" t="s">
        <v>2917</v>
      </c>
      <c r="F39" t="s">
        <v>2918</v>
      </c>
      <c r="G39" s="149" t="s">
        <v>2919</v>
      </c>
      <c r="H39" s="149" t="s">
        <v>2920</v>
      </c>
      <c r="I39" t="s">
        <v>2859</v>
      </c>
      <c r="J39" t="s">
        <v>2860</v>
      </c>
      <c r="K39" s="150" t="s">
        <v>2861</v>
      </c>
      <c r="L39" t="s">
        <v>2921</v>
      </c>
    </row>
    <row r="40" spans="1:12" ht="409.5" customHeight="1" x14ac:dyDescent="0.35">
      <c r="A40" t="s">
        <v>2922</v>
      </c>
      <c r="B40" t="s">
        <v>2854</v>
      </c>
      <c r="C40" t="s">
        <v>2795</v>
      </c>
      <c r="D40" t="s">
        <v>2923</v>
      </c>
      <c r="E40" t="s">
        <v>2924</v>
      </c>
      <c r="F40" t="s">
        <v>2925</v>
      </c>
      <c r="G40" s="158" t="s">
        <v>3444</v>
      </c>
      <c r="H40" s="149" t="s">
        <v>2926</v>
      </c>
      <c r="I40" t="s">
        <v>2859</v>
      </c>
      <c r="J40" t="s">
        <v>2860</v>
      </c>
      <c r="K40" s="150" t="s">
        <v>2861</v>
      </c>
      <c r="L40" t="s">
        <v>2927</v>
      </c>
    </row>
    <row r="41" spans="1:12" ht="409.5" customHeight="1" x14ac:dyDescent="0.35">
      <c r="A41" t="s">
        <v>2928</v>
      </c>
      <c r="B41" t="s">
        <v>2854</v>
      </c>
      <c r="C41" t="s">
        <v>2799</v>
      </c>
      <c r="D41" t="s">
        <v>2923</v>
      </c>
      <c r="E41" t="s">
        <v>2929</v>
      </c>
      <c r="F41" t="s">
        <v>2930</v>
      </c>
      <c r="G41" s="149" t="s">
        <v>2931</v>
      </c>
      <c r="H41" s="149" t="s">
        <v>2932</v>
      </c>
      <c r="I41" t="s">
        <v>2859</v>
      </c>
      <c r="J41" t="s">
        <v>2860</v>
      </c>
      <c r="K41" s="150" t="s">
        <v>2861</v>
      </c>
      <c r="L41" t="s">
        <v>2933</v>
      </c>
    </row>
    <row r="42" spans="1:12" ht="409.5" customHeight="1" x14ac:dyDescent="0.35">
      <c r="A42" t="s">
        <v>2934</v>
      </c>
      <c r="B42" t="s">
        <v>2854</v>
      </c>
      <c r="C42" t="s">
        <v>2802</v>
      </c>
      <c r="D42" t="s">
        <v>2923</v>
      </c>
      <c r="E42" t="s">
        <v>2935</v>
      </c>
      <c r="F42" t="s">
        <v>2936</v>
      </c>
      <c r="G42" s="149" t="s">
        <v>2937</v>
      </c>
      <c r="H42" s="149" t="s">
        <v>2938</v>
      </c>
      <c r="I42" t="s">
        <v>2859</v>
      </c>
      <c r="J42" t="s">
        <v>2860</v>
      </c>
      <c r="K42" s="150" t="s">
        <v>2861</v>
      </c>
      <c r="L42" t="s">
        <v>2939</v>
      </c>
    </row>
    <row r="43" spans="1:12" ht="409.5" customHeight="1" x14ac:dyDescent="0.35">
      <c r="A43" t="s">
        <v>2940</v>
      </c>
      <c r="B43" t="s">
        <v>2854</v>
      </c>
      <c r="C43" t="s">
        <v>2806</v>
      </c>
      <c r="D43" t="s">
        <v>2923</v>
      </c>
      <c r="E43" t="s">
        <v>2941</v>
      </c>
      <c r="F43" t="s">
        <v>2942</v>
      </c>
      <c r="G43" s="149" t="s">
        <v>2943</v>
      </c>
      <c r="H43" s="149" t="s">
        <v>2944</v>
      </c>
      <c r="I43" t="s">
        <v>2859</v>
      </c>
      <c r="J43" t="s">
        <v>2860</v>
      </c>
      <c r="K43" s="150" t="s">
        <v>2861</v>
      </c>
      <c r="L43" t="s">
        <v>2945</v>
      </c>
    </row>
    <row r="44" spans="1:12" ht="409.5" customHeight="1" x14ac:dyDescent="0.35">
      <c r="A44" t="s">
        <v>2946</v>
      </c>
      <c r="B44" t="s">
        <v>2854</v>
      </c>
      <c r="C44" t="s">
        <v>2810</v>
      </c>
      <c r="D44" t="s">
        <v>2923</v>
      </c>
      <c r="E44" t="s">
        <v>2947</v>
      </c>
      <c r="F44" t="s">
        <v>2948</v>
      </c>
      <c r="G44" s="149" t="s">
        <v>2949</v>
      </c>
      <c r="H44" s="149" t="s">
        <v>2950</v>
      </c>
      <c r="I44" t="s">
        <v>2859</v>
      </c>
      <c r="J44" t="s">
        <v>2860</v>
      </c>
      <c r="K44" s="150" t="s">
        <v>2861</v>
      </c>
      <c r="L44" t="s">
        <v>2951</v>
      </c>
    </row>
    <row r="45" spans="1:12" ht="409.5" customHeight="1" x14ac:dyDescent="0.35">
      <c r="A45" t="s">
        <v>2952</v>
      </c>
      <c r="B45" t="s">
        <v>2854</v>
      </c>
      <c r="C45" t="s">
        <v>2814</v>
      </c>
      <c r="D45" t="s">
        <v>2923</v>
      </c>
      <c r="E45" t="s">
        <v>2953</v>
      </c>
      <c r="F45" t="s">
        <v>2954</v>
      </c>
      <c r="G45" s="149" t="s">
        <v>2955</v>
      </c>
      <c r="H45" s="149" t="s">
        <v>2956</v>
      </c>
      <c r="I45" t="s">
        <v>2859</v>
      </c>
      <c r="J45" t="s">
        <v>2860</v>
      </c>
      <c r="K45" s="150" t="s">
        <v>2861</v>
      </c>
      <c r="L45" t="s">
        <v>2957</v>
      </c>
    </row>
    <row r="46" spans="1:12" ht="409.5" customHeight="1" x14ac:dyDescent="0.35">
      <c r="A46" t="s">
        <v>2958</v>
      </c>
      <c r="B46" t="s">
        <v>2854</v>
      </c>
      <c r="C46" t="s">
        <v>2818</v>
      </c>
      <c r="D46" t="s">
        <v>2923</v>
      </c>
      <c r="E46" t="s">
        <v>2959</v>
      </c>
      <c r="F46" t="s">
        <v>2960</v>
      </c>
      <c r="G46" s="149" t="s">
        <v>2961</v>
      </c>
      <c r="H46" s="149" t="s">
        <v>2962</v>
      </c>
      <c r="I46" t="s">
        <v>2859</v>
      </c>
      <c r="J46" t="s">
        <v>2860</v>
      </c>
      <c r="K46" s="150" t="s">
        <v>2861</v>
      </c>
      <c r="L46" t="s">
        <v>2963</v>
      </c>
    </row>
    <row r="47" spans="1:12" ht="409.5" customHeight="1" x14ac:dyDescent="0.35">
      <c r="A47" t="s">
        <v>2964</v>
      </c>
      <c r="B47" t="s">
        <v>2854</v>
      </c>
      <c r="C47" t="s">
        <v>2822</v>
      </c>
      <c r="D47" t="s">
        <v>2923</v>
      </c>
      <c r="E47" t="s">
        <v>2965</v>
      </c>
      <c r="F47" t="s">
        <v>2966</v>
      </c>
      <c r="G47" s="149" t="s">
        <v>2967</v>
      </c>
      <c r="H47" s="149" t="s">
        <v>2968</v>
      </c>
      <c r="I47" t="s">
        <v>2859</v>
      </c>
      <c r="J47" t="s">
        <v>2860</v>
      </c>
      <c r="K47" s="150" t="s">
        <v>2861</v>
      </c>
      <c r="L47" t="s">
        <v>2969</v>
      </c>
    </row>
    <row r="48" spans="1:12" ht="409.5" customHeight="1" x14ac:dyDescent="0.35">
      <c r="A48" t="s">
        <v>2970</v>
      </c>
      <c r="B48" t="s">
        <v>2854</v>
      </c>
      <c r="C48" t="s">
        <v>2826</v>
      </c>
      <c r="D48" t="s">
        <v>2923</v>
      </c>
      <c r="E48" t="s">
        <v>2971</v>
      </c>
      <c r="F48" t="s">
        <v>2972</v>
      </c>
      <c r="G48" s="149" t="s">
        <v>2973</v>
      </c>
      <c r="H48" s="149" t="s">
        <v>2974</v>
      </c>
      <c r="I48" t="s">
        <v>2859</v>
      </c>
      <c r="J48" t="s">
        <v>2860</v>
      </c>
      <c r="K48" s="150" t="s">
        <v>2861</v>
      </c>
      <c r="L48" t="s">
        <v>2975</v>
      </c>
    </row>
    <row r="49" spans="1:12" ht="409.5" customHeight="1" x14ac:dyDescent="0.35">
      <c r="A49" t="s">
        <v>2976</v>
      </c>
      <c r="B49" t="s">
        <v>2854</v>
      </c>
      <c r="C49" t="s">
        <v>2829</v>
      </c>
      <c r="D49" t="s">
        <v>2923</v>
      </c>
      <c r="E49" t="s">
        <v>2977</v>
      </c>
      <c r="F49" t="s">
        <v>2978</v>
      </c>
      <c r="G49" s="149" t="s">
        <v>2979</v>
      </c>
      <c r="H49" s="149" t="s">
        <v>2980</v>
      </c>
      <c r="I49" t="s">
        <v>2859</v>
      </c>
      <c r="J49" t="s">
        <v>2860</v>
      </c>
      <c r="K49" s="150" t="s">
        <v>2861</v>
      </c>
      <c r="L49" t="s">
        <v>2981</v>
      </c>
    </row>
    <row r="50" spans="1:12" ht="409.5" customHeight="1" x14ac:dyDescent="0.35">
      <c r="A50" t="s">
        <v>2982</v>
      </c>
      <c r="B50" t="s">
        <v>2854</v>
      </c>
      <c r="C50" t="s">
        <v>2833</v>
      </c>
      <c r="D50" t="s">
        <v>2923</v>
      </c>
      <c r="E50" t="s">
        <v>2983</v>
      </c>
      <c r="F50" t="s">
        <v>2984</v>
      </c>
      <c r="G50" s="149" t="s">
        <v>2985</v>
      </c>
      <c r="H50" s="149" t="s">
        <v>2986</v>
      </c>
      <c r="I50" t="s">
        <v>2859</v>
      </c>
      <c r="J50" t="s">
        <v>2860</v>
      </c>
      <c r="K50" s="150" t="s">
        <v>2861</v>
      </c>
      <c r="L50" t="s">
        <v>2987</v>
      </c>
    </row>
    <row r="52" spans="1:12" x14ac:dyDescent="0.35">
      <c r="A52" s="242" t="s">
        <v>2988</v>
      </c>
      <c r="B52" s="182"/>
      <c r="C52" s="182"/>
      <c r="D52" s="182"/>
      <c r="E52" s="182"/>
      <c r="F52" s="182"/>
      <c r="G52" s="182"/>
      <c r="H52" s="182"/>
      <c r="I52" s="182"/>
      <c r="J52" s="182"/>
      <c r="K52" s="182"/>
      <c r="L52" s="182"/>
    </row>
    <row r="53" spans="1:12" x14ac:dyDescent="0.35">
      <c r="A53" s="241" t="s">
        <v>2989</v>
      </c>
      <c r="B53" s="182"/>
      <c r="C53" s="182"/>
      <c r="D53" s="182"/>
      <c r="E53" s="182"/>
      <c r="F53" s="182"/>
      <c r="G53" s="182"/>
      <c r="H53" s="182"/>
      <c r="I53" s="182"/>
      <c r="J53" s="182"/>
      <c r="K53" s="182"/>
      <c r="L53" s="182"/>
    </row>
    <row r="55" spans="1:12" x14ac:dyDescent="0.35">
      <c r="A55" s="148" t="s">
        <v>2843</v>
      </c>
      <c r="B55" s="148" t="s">
        <v>2844</v>
      </c>
      <c r="C55" s="148" t="s">
        <v>2990</v>
      </c>
      <c r="D55" s="148" t="s">
        <v>2792</v>
      </c>
      <c r="E55" s="148" t="s">
        <v>190</v>
      </c>
      <c r="F55" s="148" t="s">
        <v>2991</v>
      </c>
      <c r="G55" s="148" t="s">
        <v>2992</v>
      </c>
      <c r="H55" s="148" t="s">
        <v>2993</v>
      </c>
      <c r="I55" s="148" t="s">
        <v>2849</v>
      </c>
      <c r="J55" s="148" t="s">
        <v>2850</v>
      </c>
      <c r="K55" s="148" t="s">
        <v>2851</v>
      </c>
      <c r="L55" s="148" t="s">
        <v>2852</v>
      </c>
    </row>
    <row r="56" spans="1:12" ht="409.5" customHeight="1" x14ac:dyDescent="0.35">
      <c r="A56" t="s">
        <v>2994</v>
      </c>
      <c r="B56" t="s">
        <v>2995</v>
      </c>
      <c r="C56" t="s">
        <v>2795</v>
      </c>
      <c r="D56" t="s">
        <v>2996</v>
      </c>
      <c r="E56" t="s">
        <v>2997</v>
      </c>
      <c r="F56" t="s">
        <v>2998</v>
      </c>
      <c r="G56" s="158" t="s">
        <v>3445</v>
      </c>
      <c r="H56" t="s">
        <v>2999</v>
      </c>
      <c r="I56" t="s">
        <v>3000</v>
      </c>
      <c r="J56" t="s">
        <v>2860</v>
      </c>
      <c r="K56" s="150" t="s">
        <v>2861</v>
      </c>
      <c r="L56" t="s">
        <v>3001</v>
      </c>
    </row>
    <row r="57" spans="1:12" ht="409.5" customHeight="1" x14ac:dyDescent="0.35">
      <c r="A57" t="s">
        <v>3002</v>
      </c>
      <c r="B57" t="s">
        <v>2995</v>
      </c>
      <c r="C57" t="s">
        <v>2799</v>
      </c>
      <c r="D57" t="s">
        <v>3003</v>
      </c>
      <c r="E57" t="s">
        <v>3004</v>
      </c>
      <c r="F57" t="s">
        <v>3005</v>
      </c>
      <c r="G57" s="149" t="s">
        <v>3006</v>
      </c>
      <c r="H57" t="s">
        <v>3007</v>
      </c>
      <c r="I57" t="s">
        <v>3000</v>
      </c>
      <c r="J57" t="s">
        <v>2860</v>
      </c>
      <c r="K57" s="150" t="s">
        <v>2861</v>
      </c>
      <c r="L57" t="s">
        <v>3008</v>
      </c>
    </row>
    <row r="58" spans="1:12" ht="409.5" customHeight="1" x14ac:dyDescent="0.35">
      <c r="A58" t="s">
        <v>3009</v>
      </c>
      <c r="B58" t="s">
        <v>2995</v>
      </c>
      <c r="C58" t="s">
        <v>2802</v>
      </c>
      <c r="D58" t="s">
        <v>3010</v>
      </c>
      <c r="E58" t="s">
        <v>2804</v>
      </c>
      <c r="F58" t="s">
        <v>3011</v>
      </c>
      <c r="G58" s="149" t="s">
        <v>3012</v>
      </c>
      <c r="H58" t="s">
        <v>3013</v>
      </c>
      <c r="I58" t="s">
        <v>3000</v>
      </c>
      <c r="J58" t="s">
        <v>2860</v>
      </c>
      <c r="K58" s="150" t="s">
        <v>2861</v>
      </c>
      <c r="L58" t="s">
        <v>3014</v>
      </c>
    </row>
    <row r="59" spans="1:12" ht="409.5" customHeight="1" x14ac:dyDescent="0.35">
      <c r="A59" t="s">
        <v>3015</v>
      </c>
      <c r="B59" t="s">
        <v>2995</v>
      </c>
      <c r="C59" t="s">
        <v>2806</v>
      </c>
      <c r="D59" t="s">
        <v>3016</v>
      </c>
      <c r="E59" t="s">
        <v>2808</v>
      </c>
      <c r="F59" t="s">
        <v>3017</v>
      </c>
      <c r="G59" s="149" t="s">
        <v>3018</v>
      </c>
      <c r="H59" t="s">
        <v>3019</v>
      </c>
      <c r="I59" t="s">
        <v>3000</v>
      </c>
      <c r="J59" t="s">
        <v>2860</v>
      </c>
      <c r="K59" s="150" t="s">
        <v>2861</v>
      </c>
      <c r="L59" t="s">
        <v>3020</v>
      </c>
    </row>
    <row r="60" spans="1:12" ht="409.5" customHeight="1" x14ac:dyDescent="0.35">
      <c r="A60" t="s">
        <v>3021</v>
      </c>
      <c r="B60" t="s">
        <v>2995</v>
      </c>
      <c r="C60" t="s">
        <v>2810</v>
      </c>
      <c r="D60" t="s">
        <v>3022</v>
      </c>
      <c r="E60" t="s">
        <v>2812</v>
      </c>
      <c r="F60" t="s">
        <v>3023</v>
      </c>
      <c r="G60" s="149" t="s">
        <v>3024</v>
      </c>
      <c r="H60" t="s">
        <v>3025</v>
      </c>
      <c r="I60" t="s">
        <v>3000</v>
      </c>
      <c r="J60" t="s">
        <v>2860</v>
      </c>
      <c r="K60" s="150" t="s">
        <v>2861</v>
      </c>
      <c r="L60" t="s">
        <v>3026</v>
      </c>
    </row>
    <row r="61" spans="1:12" ht="409.5" customHeight="1" x14ac:dyDescent="0.35">
      <c r="A61" t="s">
        <v>3027</v>
      </c>
      <c r="B61" t="s">
        <v>2995</v>
      </c>
      <c r="C61" t="s">
        <v>2814</v>
      </c>
      <c r="D61" t="s">
        <v>3028</v>
      </c>
      <c r="E61" t="s">
        <v>2816</v>
      </c>
      <c r="F61" t="s">
        <v>3029</v>
      </c>
      <c r="G61" s="149" t="s">
        <v>3030</v>
      </c>
      <c r="H61" t="s">
        <v>3031</v>
      </c>
      <c r="I61" t="s">
        <v>3000</v>
      </c>
      <c r="J61" t="s">
        <v>2860</v>
      </c>
      <c r="K61" s="150" t="s">
        <v>2861</v>
      </c>
      <c r="L61" t="s">
        <v>3032</v>
      </c>
    </row>
    <row r="62" spans="1:12" ht="409.5" customHeight="1" x14ac:dyDescent="0.35">
      <c r="A62" t="s">
        <v>3033</v>
      </c>
      <c r="B62" t="s">
        <v>2995</v>
      </c>
      <c r="C62" t="s">
        <v>2818</v>
      </c>
      <c r="D62" t="s">
        <v>3034</v>
      </c>
      <c r="E62" t="s">
        <v>2820</v>
      </c>
      <c r="F62" t="s">
        <v>3035</v>
      </c>
      <c r="G62" s="149" t="s">
        <v>3036</v>
      </c>
      <c r="H62" t="s">
        <v>3037</v>
      </c>
      <c r="I62" t="s">
        <v>3000</v>
      </c>
      <c r="J62" t="s">
        <v>2860</v>
      </c>
      <c r="K62" s="150" t="s">
        <v>2861</v>
      </c>
      <c r="L62" t="s">
        <v>3038</v>
      </c>
    </row>
    <row r="63" spans="1:12" ht="409.5" customHeight="1" x14ac:dyDescent="0.35">
      <c r="A63" t="s">
        <v>3039</v>
      </c>
      <c r="B63" t="s">
        <v>2995</v>
      </c>
      <c r="C63" t="s">
        <v>2822</v>
      </c>
      <c r="D63" t="s">
        <v>3040</v>
      </c>
      <c r="E63" t="s">
        <v>2824</v>
      </c>
      <c r="F63" t="s">
        <v>3041</v>
      </c>
      <c r="G63" s="149" t="s">
        <v>3042</v>
      </c>
      <c r="H63" t="s">
        <v>3043</v>
      </c>
      <c r="I63" t="s">
        <v>3000</v>
      </c>
      <c r="J63" t="s">
        <v>2860</v>
      </c>
      <c r="K63" s="150" t="s">
        <v>2861</v>
      </c>
      <c r="L63" t="s">
        <v>3044</v>
      </c>
    </row>
    <row r="64" spans="1:12" ht="409.5" customHeight="1" x14ac:dyDescent="0.35">
      <c r="A64" t="s">
        <v>3045</v>
      </c>
      <c r="B64" t="s">
        <v>2995</v>
      </c>
      <c r="C64" t="s">
        <v>2826</v>
      </c>
      <c r="D64" t="s">
        <v>3046</v>
      </c>
      <c r="E64" t="s">
        <v>2828</v>
      </c>
      <c r="F64" t="s">
        <v>3047</v>
      </c>
      <c r="G64" s="149" t="s">
        <v>3048</v>
      </c>
      <c r="H64" t="s">
        <v>3049</v>
      </c>
      <c r="I64" t="s">
        <v>3000</v>
      </c>
      <c r="J64" t="s">
        <v>2860</v>
      </c>
      <c r="K64" s="150" t="s">
        <v>2861</v>
      </c>
      <c r="L64" t="s">
        <v>3050</v>
      </c>
    </row>
    <row r="65" spans="1:12" ht="409.5" customHeight="1" x14ac:dyDescent="0.35">
      <c r="A65" t="s">
        <v>3051</v>
      </c>
      <c r="B65" t="s">
        <v>2995</v>
      </c>
      <c r="C65" t="s">
        <v>2829</v>
      </c>
      <c r="D65" t="s">
        <v>3052</v>
      </c>
      <c r="E65" t="s">
        <v>3053</v>
      </c>
      <c r="F65" t="s">
        <v>3054</v>
      </c>
      <c r="G65" s="149" t="s">
        <v>3055</v>
      </c>
      <c r="H65" t="s">
        <v>3056</v>
      </c>
      <c r="I65" t="s">
        <v>3000</v>
      </c>
      <c r="J65" t="s">
        <v>2860</v>
      </c>
      <c r="K65" s="150" t="s">
        <v>2861</v>
      </c>
      <c r="L65" t="s">
        <v>3057</v>
      </c>
    </row>
    <row r="66" spans="1:12" ht="409.5" customHeight="1" x14ac:dyDescent="0.35">
      <c r="A66" t="s">
        <v>3058</v>
      </c>
      <c r="B66" t="s">
        <v>2995</v>
      </c>
      <c r="C66" t="s">
        <v>2833</v>
      </c>
      <c r="D66" t="s">
        <v>3059</v>
      </c>
      <c r="E66" t="s">
        <v>3060</v>
      </c>
      <c r="F66" t="s">
        <v>3061</v>
      </c>
      <c r="G66" s="149" t="s">
        <v>3062</v>
      </c>
      <c r="H66" t="s">
        <v>3063</v>
      </c>
      <c r="I66" t="s">
        <v>3000</v>
      </c>
      <c r="J66" t="s">
        <v>2860</v>
      </c>
      <c r="K66" s="150" t="s">
        <v>2861</v>
      </c>
      <c r="L66" t="s">
        <v>3064</v>
      </c>
    </row>
    <row r="68" spans="1:12" x14ac:dyDescent="0.35">
      <c r="A68" s="242" t="s">
        <v>3065</v>
      </c>
      <c r="B68" s="182"/>
      <c r="C68" s="182"/>
      <c r="D68" s="182"/>
      <c r="E68" s="182"/>
      <c r="F68" s="182"/>
      <c r="G68" s="182"/>
      <c r="H68" s="182"/>
      <c r="I68" s="182"/>
      <c r="J68" s="182"/>
      <c r="K68" s="182"/>
      <c r="L68" s="182"/>
    </row>
    <row r="70" spans="1:12" x14ac:dyDescent="0.35">
      <c r="A70" s="148" t="s">
        <v>1</v>
      </c>
      <c r="B70" s="148" t="s">
        <v>630</v>
      </c>
      <c r="C70" s="148" t="s">
        <v>2141</v>
      </c>
      <c r="D70" s="148" t="s">
        <v>208</v>
      </c>
    </row>
    <row r="71" spans="1:12" x14ac:dyDescent="0.35">
      <c r="A71" t="s">
        <v>3066</v>
      </c>
      <c r="B71" t="s">
        <v>3067</v>
      </c>
      <c r="C71" t="s">
        <v>3068</v>
      </c>
      <c r="D71" t="s">
        <v>3069</v>
      </c>
    </row>
    <row r="72" spans="1:12" x14ac:dyDescent="0.35">
      <c r="A72" t="s">
        <v>3070</v>
      </c>
      <c r="B72" t="s">
        <v>3071</v>
      </c>
      <c r="C72" t="s">
        <v>3072</v>
      </c>
      <c r="D72" t="s">
        <v>3073</v>
      </c>
    </row>
    <row r="73" spans="1:12" x14ac:dyDescent="0.35">
      <c r="A73" t="s">
        <v>3074</v>
      </c>
      <c r="B73" t="s">
        <v>3075</v>
      </c>
      <c r="C73" t="s">
        <v>3076</v>
      </c>
      <c r="D73" t="s">
        <v>3077</v>
      </c>
    </row>
    <row r="74" spans="1:12" x14ac:dyDescent="0.35">
      <c r="A74" t="s">
        <v>3078</v>
      </c>
      <c r="B74" t="s">
        <v>3079</v>
      </c>
      <c r="C74" t="s">
        <v>3080</v>
      </c>
      <c r="D74" t="s">
        <v>3081</v>
      </c>
    </row>
    <row r="75" spans="1:12" x14ac:dyDescent="0.35">
      <c r="A75" t="s">
        <v>3082</v>
      </c>
      <c r="B75" t="s">
        <v>3083</v>
      </c>
      <c r="C75" t="s">
        <v>3084</v>
      </c>
      <c r="D75" t="s">
        <v>3085</v>
      </c>
    </row>
    <row r="76" spans="1:12" x14ac:dyDescent="0.35">
      <c r="A76" t="s">
        <v>3086</v>
      </c>
      <c r="B76" t="s">
        <v>3087</v>
      </c>
      <c r="C76" t="s">
        <v>3088</v>
      </c>
      <c r="D76" t="s">
        <v>3089</v>
      </c>
    </row>
    <row r="77" spans="1:12" x14ac:dyDescent="0.35">
      <c r="A77" t="s">
        <v>3090</v>
      </c>
      <c r="B77" t="s">
        <v>3091</v>
      </c>
      <c r="C77" t="s">
        <v>3092</v>
      </c>
      <c r="D77" t="s">
        <v>3093</v>
      </c>
    </row>
    <row r="78" spans="1:12" x14ac:dyDescent="0.35">
      <c r="A78" t="s">
        <v>3094</v>
      </c>
      <c r="B78" t="s">
        <v>3095</v>
      </c>
      <c r="C78" t="s">
        <v>3096</v>
      </c>
      <c r="D78" t="s">
        <v>3097</v>
      </c>
    </row>
    <row r="79" spans="1:12" x14ac:dyDescent="0.35">
      <c r="A79" t="s">
        <v>3098</v>
      </c>
      <c r="B79" t="s">
        <v>3099</v>
      </c>
      <c r="C79" t="s">
        <v>1263</v>
      </c>
      <c r="D79" t="s">
        <v>3100</v>
      </c>
    </row>
    <row r="81" spans="1:12" x14ac:dyDescent="0.35">
      <c r="A81" s="242" t="s">
        <v>3101</v>
      </c>
      <c r="B81" s="182"/>
      <c r="C81" s="182"/>
      <c r="D81" s="182"/>
      <c r="E81" s="182"/>
      <c r="F81" s="182"/>
      <c r="G81" s="182"/>
      <c r="H81" s="182"/>
      <c r="I81" s="182"/>
      <c r="J81" s="182"/>
      <c r="K81" s="182"/>
      <c r="L81" s="182"/>
    </row>
    <row r="82" spans="1:12" x14ac:dyDescent="0.35">
      <c r="A82" s="241" t="s">
        <v>3102</v>
      </c>
      <c r="B82" s="182"/>
      <c r="C82" s="182"/>
      <c r="D82" s="182"/>
      <c r="E82" s="182"/>
      <c r="F82" s="182"/>
      <c r="G82" s="182"/>
      <c r="H82" s="182"/>
      <c r="I82" s="182"/>
      <c r="J82" s="182"/>
      <c r="K82" s="182"/>
      <c r="L82" s="182"/>
    </row>
    <row r="84" spans="1:12" x14ac:dyDescent="0.35">
      <c r="A84" s="242" t="s">
        <v>3103</v>
      </c>
      <c r="B84" s="182"/>
      <c r="C84" s="182"/>
      <c r="D84" s="182"/>
      <c r="E84" s="182"/>
      <c r="F84" s="182"/>
      <c r="G84" s="182"/>
      <c r="H84" s="182"/>
      <c r="I84" s="182"/>
      <c r="J84" s="182"/>
      <c r="K84" s="182"/>
      <c r="L84" s="182"/>
    </row>
    <row r="85" spans="1:12" x14ac:dyDescent="0.35">
      <c r="A85" s="241" t="s">
        <v>3104</v>
      </c>
      <c r="B85" s="182"/>
      <c r="C85" s="182"/>
      <c r="D85" s="182"/>
      <c r="E85" s="182"/>
      <c r="F85" s="182"/>
      <c r="G85" s="182"/>
      <c r="H85" s="182"/>
      <c r="I85" s="182"/>
      <c r="J85" s="182"/>
      <c r="K85" s="182"/>
      <c r="L85" s="182"/>
    </row>
  </sheetData>
  <mergeCells count="16">
    <mergeCell ref="A82:L82"/>
    <mergeCell ref="A25:L25"/>
    <mergeCell ref="A68:L68"/>
    <mergeCell ref="A85:L85"/>
    <mergeCell ref="A1:L1"/>
    <mergeCell ref="A23:L23"/>
    <mergeCell ref="A84:L84"/>
    <mergeCell ref="A6:L6"/>
    <mergeCell ref="A3:L3"/>
    <mergeCell ref="A53:L53"/>
    <mergeCell ref="A4:L4"/>
    <mergeCell ref="A81:L81"/>
    <mergeCell ref="A26:L26"/>
    <mergeCell ref="A20:L20"/>
    <mergeCell ref="A2:L2"/>
    <mergeCell ref="A52:L5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64BC-9920-4253-9E5D-D055AFC0C24D}">
  <dimension ref="A1:H19"/>
  <sheetViews>
    <sheetView workbookViewId="0">
      <selection activeCell="K28" sqref="K28"/>
    </sheetView>
  </sheetViews>
  <sheetFormatPr defaultRowHeight="14.5" x14ac:dyDescent="0.35"/>
  <sheetData>
    <row r="1" spans="1:8" x14ac:dyDescent="0.35">
      <c r="A1" t="s">
        <v>2699</v>
      </c>
      <c r="B1" t="s">
        <v>2700</v>
      </c>
      <c r="C1" t="s">
        <v>2701</v>
      </c>
      <c r="D1" t="s">
        <v>190</v>
      </c>
      <c r="E1" t="s">
        <v>2702</v>
      </c>
      <c r="F1" t="s">
        <v>2703</v>
      </c>
      <c r="G1" t="s">
        <v>2704</v>
      </c>
      <c r="H1" t="s">
        <v>2705</v>
      </c>
    </row>
    <row r="2" spans="1:8" x14ac:dyDescent="0.35">
      <c r="A2">
        <v>2</v>
      </c>
      <c r="B2" t="s">
        <v>2706</v>
      </c>
      <c r="C2" t="s">
        <v>2707</v>
      </c>
      <c r="D2" t="s">
        <v>2708</v>
      </c>
      <c r="E2" t="s">
        <v>2709</v>
      </c>
      <c r="F2" t="s">
        <v>2710</v>
      </c>
      <c r="G2" t="s">
        <v>1402</v>
      </c>
      <c r="H2" t="s">
        <v>2711</v>
      </c>
    </row>
    <row r="3" spans="1:8" x14ac:dyDescent="0.35">
      <c r="A3">
        <v>2</v>
      </c>
      <c r="B3" t="s">
        <v>2712</v>
      </c>
      <c r="C3" t="s">
        <v>2713</v>
      </c>
      <c r="D3" t="s">
        <v>2714</v>
      </c>
      <c r="E3" t="s">
        <v>2715</v>
      </c>
      <c r="F3" t="s">
        <v>2716</v>
      </c>
      <c r="G3" t="s">
        <v>1402</v>
      </c>
      <c r="H3" t="s">
        <v>2711</v>
      </c>
    </row>
    <row r="4" spans="1:8" x14ac:dyDescent="0.35">
      <c r="A4">
        <v>2</v>
      </c>
      <c r="B4" t="s">
        <v>2717</v>
      </c>
      <c r="C4" t="s">
        <v>2718</v>
      </c>
      <c r="D4" t="s">
        <v>2719</v>
      </c>
      <c r="E4" t="s">
        <v>2720</v>
      </c>
      <c r="F4" t="s">
        <v>2721</v>
      </c>
      <c r="G4" t="s">
        <v>1402</v>
      </c>
      <c r="H4" t="s">
        <v>2711</v>
      </c>
    </row>
    <row r="5" spans="1:8" x14ac:dyDescent="0.35">
      <c r="A5">
        <v>3</v>
      </c>
      <c r="B5" t="s">
        <v>2722</v>
      </c>
      <c r="C5" t="s">
        <v>2707</v>
      </c>
      <c r="D5" t="s">
        <v>2723</v>
      </c>
      <c r="E5" t="s">
        <v>2724</v>
      </c>
      <c r="F5" t="s">
        <v>2725</v>
      </c>
      <c r="G5" t="s">
        <v>1402</v>
      </c>
      <c r="H5" t="s">
        <v>2711</v>
      </c>
    </row>
    <row r="6" spans="1:8" x14ac:dyDescent="0.35">
      <c r="A6">
        <v>3</v>
      </c>
      <c r="B6" t="s">
        <v>2726</v>
      </c>
      <c r="C6" t="s">
        <v>2713</v>
      </c>
      <c r="D6" t="s">
        <v>2727</v>
      </c>
      <c r="E6" t="s">
        <v>2728</v>
      </c>
      <c r="F6" t="s">
        <v>2729</v>
      </c>
      <c r="G6" t="s">
        <v>1402</v>
      </c>
      <c r="H6" t="s">
        <v>2711</v>
      </c>
    </row>
    <row r="7" spans="1:8" x14ac:dyDescent="0.35">
      <c r="A7">
        <v>3</v>
      </c>
      <c r="B7" t="s">
        <v>2730</v>
      </c>
      <c r="C7" t="s">
        <v>2731</v>
      </c>
      <c r="D7" t="s">
        <v>2732</v>
      </c>
      <c r="E7" t="s">
        <v>2733</v>
      </c>
      <c r="F7" t="s">
        <v>2734</v>
      </c>
      <c r="G7" t="s">
        <v>1402</v>
      </c>
      <c r="H7" t="s">
        <v>2711</v>
      </c>
    </row>
    <row r="8" spans="1:8" x14ac:dyDescent="0.35">
      <c r="A8">
        <v>3</v>
      </c>
      <c r="B8" t="s">
        <v>2735</v>
      </c>
      <c r="C8" t="s">
        <v>2736</v>
      </c>
      <c r="D8" t="s">
        <v>2737</v>
      </c>
      <c r="E8" t="s">
        <v>2738</v>
      </c>
      <c r="F8" t="s">
        <v>2739</v>
      </c>
      <c r="G8" t="s">
        <v>1402</v>
      </c>
      <c r="H8" t="s">
        <v>2711</v>
      </c>
    </row>
    <row r="9" spans="1:8" x14ac:dyDescent="0.35">
      <c r="A9">
        <v>4</v>
      </c>
      <c r="B9" t="s">
        <v>2740</v>
      </c>
      <c r="C9" t="s">
        <v>2707</v>
      </c>
      <c r="D9" t="s">
        <v>2741</v>
      </c>
      <c r="E9" t="s">
        <v>2742</v>
      </c>
      <c r="F9" t="s">
        <v>2743</v>
      </c>
      <c r="G9" t="s">
        <v>1402</v>
      </c>
      <c r="H9" t="s">
        <v>2711</v>
      </c>
    </row>
    <row r="10" spans="1:8" x14ac:dyDescent="0.35">
      <c r="A10">
        <v>4</v>
      </c>
      <c r="B10" t="s">
        <v>2744</v>
      </c>
      <c r="C10" t="s">
        <v>2731</v>
      </c>
      <c r="D10" t="s">
        <v>2745</v>
      </c>
      <c r="E10" t="s">
        <v>2746</v>
      </c>
      <c r="F10" t="s">
        <v>2747</v>
      </c>
      <c r="G10" t="s">
        <v>1402</v>
      </c>
      <c r="H10" t="s">
        <v>2711</v>
      </c>
    </row>
    <row r="11" spans="1:8" x14ac:dyDescent="0.35">
      <c r="A11">
        <v>4</v>
      </c>
      <c r="B11" t="s">
        <v>2748</v>
      </c>
      <c r="C11" t="s">
        <v>2718</v>
      </c>
      <c r="D11" t="s">
        <v>2749</v>
      </c>
      <c r="E11" t="s">
        <v>2750</v>
      </c>
      <c r="F11" t="s">
        <v>2751</v>
      </c>
      <c r="G11" t="s">
        <v>1402</v>
      </c>
      <c r="H11" t="s">
        <v>2711</v>
      </c>
    </row>
    <row r="12" spans="1:8" x14ac:dyDescent="0.35">
      <c r="A12">
        <v>4</v>
      </c>
      <c r="B12" t="s">
        <v>2752</v>
      </c>
      <c r="C12" t="s">
        <v>2736</v>
      </c>
      <c r="D12" t="s">
        <v>2753</v>
      </c>
      <c r="E12" t="s">
        <v>2754</v>
      </c>
      <c r="F12" t="s">
        <v>2755</v>
      </c>
      <c r="G12" t="s">
        <v>1402</v>
      </c>
      <c r="H12" t="s">
        <v>2711</v>
      </c>
    </row>
    <row r="13" spans="1:8" x14ac:dyDescent="0.35">
      <c r="A13">
        <v>4</v>
      </c>
      <c r="B13" t="s">
        <v>2756</v>
      </c>
      <c r="C13" t="s">
        <v>2713</v>
      </c>
      <c r="D13" t="s">
        <v>2757</v>
      </c>
      <c r="E13" t="s">
        <v>2758</v>
      </c>
      <c r="F13" t="s">
        <v>2759</v>
      </c>
      <c r="G13" t="s">
        <v>1402</v>
      </c>
      <c r="H13" t="s">
        <v>2711</v>
      </c>
    </row>
    <row r="14" spans="1:8" x14ac:dyDescent="0.35">
      <c r="A14">
        <v>5</v>
      </c>
      <c r="B14" t="s">
        <v>2760</v>
      </c>
      <c r="C14" t="s">
        <v>2707</v>
      </c>
      <c r="D14" t="s">
        <v>2761</v>
      </c>
      <c r="E14" t="s">
        <v>2762</v>
      </c>
      <c r="F14" t="s">
        <v>2763</v>
      </c>
      <c r="G14" t="s">
        <v>1402</v>
      </c>
      <c r="H14" t="s">
        <v>2711</v>
      </c>
    </row>
    <row r="15" spans="1:8" x14ac:dyDescent="0.35">
      <c r="A15">
        <v>5</v>
      </c>
      <c r="B15" t="s">
        <v>2764</v>
      </c>
      <c r="C15" t="s">
        <v>2731</v>
      </c>
      <c r="D15" t="s">
        <v>2765</v>
      </c>
      <c r="E15" t="s">
        <v>2766</v>
      </c>
      <c r="F15" t="s">
        <v>2767</v>
      </c>
      <c r="G15" t="s">
        <v>1402</v>
      </c>
      <c r="H15" t="s">
        <v>2711</v>
      </c>
    </row>
    <row r="16" spans="1:8" x14ac:dyDescent="0.35">
      <c r="A16">
        <v>5</v>
      </c>
      <c r="B16" t="s">
        <v>2768</v>
      </c>
      <c r="C16" t="s">
        <v>2769</v>
      </c>
      <c r="D16" t="s">
        <v>2770</v>
      </c>
      <c r="E16" t="s">
        <v>2771</v>
      </c>
      <c r="F16" t="s">
        <v>2772</v>
      </c>
      <c r="G16" t="s">
        <v>1402</v>
      </c>
      <c r="H16" t="s">
        <v>2711</v>
      </c>
    </row>
    <row r="17" spans="1:8" x14ac:dyDescent="0.35">
      <c r="A17">
        <v>5</v>
      </c>
      <c r="B17" t="s">
        <v>2773</v>
      </c>
      <c r="C17" t="s">
        <v>2774</v>
      </c>
      <c r="D17" t="s">
        <v>2775</v>
      </c>
      <c r="E17" t="s">
        <v>2776</v>
      </c>
      <c r="F17" t="s">
        <v>2777</v>
      </c>
      <c r="G17" t="s">
        <v>1402</v>
      </c>
      <c r="H17" t="s">
        <v>2711</v>
      </c>
    </row>
    <row r="18" spans="1:8" x14ac:dyDescent="0.35">
      <c r="A18">
        <v>5</v>
      </c>
      <c r="B18" t="s">
        <v>2778</v>
      </c>
      <c r="C18" t="s">
        <v>2736</v>
      </c>
      <c r="D18" t="s">
        <v>2779</v>
      </c>
      <c r="E18" t="s">
        <v>2780</v>
      </c>
      <c r="F18" t="s">
        <v>2781</v>
      </c>
      <c r="G18" t="s">
        <v>1402</v>
      </c>
      <c r="H18" t="s">
        <v>2711</v>
      </c>
    </row>
    <row r="19" spans="1:8" x14ac:dyDescent="0.35">
      <c r="A19">
        <v>5</v>
      </c>
      <c r="B19" t="s">
        <v>2782</v>
      </c>
      <c r="C19" t="s">
        <v>2713</v>
      </c>
      <c r="D19" t="s">
        <v>2783</v>
      </c>
      <c r="E19" t="s">
        <v>2784</v>
      </c>
      <c r="F19" t="s">
        <v>2785</v>
      </c>
      <c r="G19" t="s">
        <v>1402</v>
      </c>
      <c r="H19" t="s">
        <v>2711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0D97-9A0F-4A18-B9C1-EF083A7010F2}">
  <dimension ref="A1:G50"/>
  <sheetViews>
    <sheetView topLeftCell="A35" workbookViewId="0">
      <selection activeCell="B35" sqref="B35"/>
    </sheetView>
  </sheetViews>
  <sheetFormatPr defaultRowHeight="14.5" x14ac:dyDescent="0.35"/>
  <cols>
    <col min="1" max="1" width="10.90625" customWidth="1"/>
    <col min="2" max="2" width="40" customWidth="1"/>
    <col min="3" max="3" width="16.36328125" customWidth="1"/>
    <col min="4" max="4" width="20" customWidth="1"/>
    <col min="5" max="5" width="61.81640625" customWidth="1"/>
    <col min="6" max="6" width="47.26953125" customWidth="1"/>
    <col min="7" max="7" width="14.54296875" customWidth="1"/>
  </cols>
  <sheetData>
    <row r="1" spans="1:7" ht="90" customHeight="1" x14ac:dyDescent="0.35">
      <c r="A1" s="246" t="s">
        <v>2515</v>
      </c>
      <c r="B1" s="246"/>
      <c r="C1" s="246"/>
      <c r="D1" s="246"/>
      <c r="E1" s="246"/>
      <c r="F1" s="246"/>
      <c r="G1" s="246"/>
    </row>
    <row r="3" spans="1:7" x14ac:dyDescent="0.35">
      <c r="A3" s="247" t="s">
        <v>2516</v>
      </c>
      <c r="B3" s="247"/>
      <c r="C3" s="247"/>
      <c r="D3" s="247"/>
      <c r="E3" s="247"/>
      <c r="F3" s="247"/>
      <c r="G3" s="247"/>
    </row>
    <row r="4" spans="1:7" x14ac:dyDescent="0.35">
      <c r="A4" s="135" t="s">
        <v>189</v>
      </c>
      <c r="B4" s="135" t="s">
        <v>2517</v>
      </c>
      <c r="C4" s="135" t="s">
        <v>2518</v>
      </c>
      <c r="D4" s="135" t="s">
        <v>2352</v>
      </c>
    </row>
    <row r="5" spans="1:7" x14ac:dyDescent="0.35">
      <c r="A5" t="s">
        <v>2519</v>
      </c>
      <c r="B5" t="s">
        <v>2520</v>
      </c>
      <c r="C5" t="s">
        <v>2521</v>
      </c>
      <c r="D5" t="s">
        <v>2522</v>
      </c>
    </row>
    <row r="6" spans="1:7" x14ac:dyDescent="0.35">
      <c r="A6" t="s">
        <v>2523</v>
      </c>
      <c r="B6" t="s">
        <v>2524</v>
      </c>
      <c r="C6" t="s">
        <v>2525</v>
      </c>
      <c r="D6" t="s">
        <v>2526</v>
      </c>
    </row>
    <row r="8" spans="1:7" x14ac:dyDescent="0.35">
      <c r="A8" s="247" t="s">
        <v>2527</v>
      </c>
      <c r="B8" s="247"/>
      <c r="C8" s="247"/>
      <c r="D8" s="247"/>
      <c r="E8" s="247"/>
      <c r="F8" s="247"/>
      <c r="G8" s="247"/>
    </row>
    <row r="9" spans="1:7" x14ac:dyDescent="0.35">
      <c r="A9" s="135" t="s">
        <v>2528</v>
      </c>
      <c r="B9" s="135" t="s">
        <v>2529</v>
      </c>
      <c r="C9" s="135" t="s">
        <v>2530</v>
      </c>
      <c r="D9" s="135" t="s">
        <v>2531</v>
      </c>
      <c r="E9" s="135" t="s">
        <v>2532</v>
      </c>
      <c r="F9" s="135" t="s">
        <v>2533</v>
      </c>
      <c r="G9" s="135" t="s">
        <v>2352</v>
      </c>
    </row>
    <row r="10" spans="1:7" ht="29" x14ac:dyDescent="0.35">
      <c r="A10" s="130">
        <v>0</v>
      </c>
      <c r="B10" s="130" t="s">
        <v>2534</v>
      </c>
      <c r="C10" s="130" t="s">
        <v>2535</v>
      </c>
      <c r="D10" s="130" t="s">
        <v>2536</v>
      </c>
      <c r="E10" s="130" t="s">
        <v>2537</v>
      </c>
      <c r="F10" s="130" t="s">
        <v>2538</v>
      </c>
      <c r="G10" s="130" t="s">
        <v>2539</v>
      </c>
    </row>
    <row r="11" spans="1:7" ht="29" x14ac:dyDescent="0.35">
      <c r="A11" s="130">
        <v>1</v>
      </c>
      <c r="B11" s="130" t="s">
        <v>2540</v>
      </c>
      <c r="C11" s="130" t="s">
        <v>1180</v>
      </c>
      <c r="D11" s="130" t="s">
        <v>2541</v>
      </c>
      <c r="E11" s="130" t="s">
        <v>2542</v>
      </c>
      <c r="F11" s="130" t="s">
        <v>2543</v>
      </c>
      <c r="G11" s="130" t="s">
        <v>2544</v>
      </c>
    </row>
    <row r="12" spans="1:7" ht="29" x14ac:dyDescent="0.35">
      <c r="A12" s="130">
        <v>2</v>
      </c>
      <c r="B12" s="130" t="s">
        <v>2545</v>
      </c>
      <c r="C12" s="130" t="s">
        <v>1180</v>
      </c>
      <c r="D12" s="130" t="s">
        <v>2546</v>
      </c>
      <c r="E12" s="130" t="s">
        <v>2547</v>
      </c>
      <c r="F12" s="130" t="s">
        <v>2548</v>
      </c>
      <c r="G12" s="130" t="s">
        <v>2549</v>
      </c>
    </row>
    <row r="13" spans="1:7" ht="29" x14ac:dyDescent="0.35">
      <c r="A13" s="130">
        <v>3</v>
      </c>
      <c r="B13" s="130" t="s">
        <v>2550</v>
      </c>
      <c r="C13" s="130" t="s">
        <v>1180</v>
      </c>
      <c r="D13" s="130" t="s">
        <v>2551</v>
      </c>
      <c r="E13" s="130" t="s">
        <v>2552</v>
      </c>
      <c r="F13" s="130" t="s">
        <v>2553</v>
      </c>
      <c r="G13" s="130" t="s">
        <v>2554</v>
      </c>
    </row>
    <row r="14" spans="1:7" ht="29" x14ac:dyDescent="0.35">
      <c r="A14" s="130">
        <v>4</v>
      </c>
      <c r="B14" s="130" t="s">
        <v>2555</v>
      </c>
      <c r="C14" s="130" t="s">
        <v>1185</v>
      </c>
      <c r="D14" s="130" t="s">
        <v>2541</v>
      </c>
      <c r="E14" s="130" t="s">
        <v>2556</v>
      </c>
      <c r="F14" s="130" t="s">
        <v>2557</v>
      </c>
      <c r="G14" s="130" t="s">
        <v>2558</v>
      </c>
    </row>
    <row r="15" spans="1:7" ht="29" x14ac:dyDescent="0.35">
      <c r="A15" s="130">
        <v>5</v>
      </c>
      <c r="B15" s="130" t="s">
        <v>2559</v>
      </c>
      <c r="C15" s="130" t="s">
        <v>1185</v>
      </c>
      <c r="D15" s="130" t="s">
        <v>2560</v>
      </c>
      <c r="E15" s="130" t="s">
        <v>2561</v>
      </c>
      <c r="F15" s="130" t="s">
        <v>2562</v>
      </c>
      <c r="G15" s="130" t="s">
        <v>2563</v>
      </c>
    </row>
    <row r="16" spans="1:7" ht="29" x14ac:dyDescent="0.35">
      <c r="A16" s="130">
        <v>6</v>
      </c>
      <c r="B16" s="130" t="s">
        <v>2564</v>
      </c>
      <c r="C16" s="130" t="s">
        <v>1190</v>
      </c>
      <c r="D16" s="130" t="s">
        <v>2541</v>
      </c>
      <c r="E16" s="130" t="s">
        <v>2565</v>
      </c>
      <c r="F16" s="130" t="s">
        <v>2566</v>
      </c>
      <c r="G16" s="130" t="s">
        <v>2567</v>
      </c>
    </row>
    <row r="17" spans="1:7" ht="29" x14ac:dyDescent="0.35">
      <c r="A17" s="130">
        <v>7</v>
      </c>
      <c r="B17" s="130" t="s">
        <v>2568</v>
      </c>
      <c r="C17" s="130" t="s">
        <v>1190</v>
      </c>
      <c r="D17" s="130" t="s">
        <v>2560</v>
      </c>
      <c r="E17" s="130" t="s">
        <v>2569</v>
      </c>
      <c r="F17" s="130" t="s">
        <v>2570</v>
      </c>
      <c r="G17" s="130" t="s">
        <v>2571</v>
      </c>
    </row>
    <row r="19" spans="1:7" x14ac:dyDescent="0.35">
      <c r="A19" s="247" t="s">
        <v>2572</v>
      </c>
      <c r="B19" s="247"/>
      <c r="C19" s="247"/>
      <c r="D19" s="247"/>
      <c r="E19" s="247"/>
      <c r="F19" s="247"/>
      <c r="G19" s="247"/>
    </row>
    <row r="20" spans="1:7" ht="58" x14ac:dyDescent="0.35">
      <c r="A20" s="136">
        <v>1</v>
      </c>
      <c r="B20" s="127" t="s">
        <v>2573</v>
      </c>
    </row>
    <row r="21" spans="1:7" ht="43.5" x14ac:dyDescent="0.35">
      <c r="A21" s="136">
        <v>2</v>
      </c>
      <c r="B21" s="127" t="s">
        <v>2574</v>
      </c>
    </row>
    <row r="22" spans="1:7" ht="101.5" x14ac:dyDescent="0.35">
      <c r="A22" s="136">
        <v>3</v>
      </c>
      <c r="B22" s="127" t="s">
        <v>2575</v>
      </c>
    </row>
    <row r="23" spans="1:7" ht="43.5" x14ac:dyDescent="0.35">
      <c r="A23" s="136">
        <v>4</v>
      </c>
      <c r="B23" s="127" t="s">
        <v>2576</v>
      </c>
    </row>
    <row r="24" spans="1:7" ht="72.5" x14ac:dyDescent="0.35">
      <c r="A24" s="136">
        <v>5</v>
      </c>
      <c r="B24" s="127" t="s">
        <v>2577</v>
      </c>
    </row>
    <row r="25" spans="1:7" ht="58" x14ac:dyDescent="0.35">
      <c r="A25" s="136">
        <v>6</v>
      </c>
      <c r="B25" s="127" t="s">
        <v>2578</v>
      </c>
    </row>
    <row r="27" spans="1:7" x14ac:dyDescent="0.35">
      <c r="A27" s="248" t="s">
        <v>2579</v>
      </c>
      <c r="B27" s="248"/>
      <c r="C27" s="248"/>
      <c r="D27" s="248"/>
      <c r="E27" s="248"/>
      <c r="F27" s="248"/>
      <c r="G27" s="248"/>
    </row>
    <row r="28" spans="1:7" x14ac:dyDescent="0.35">
      <c r="A28" s="136" t="s">
        <v>2580</v>
      </c>
      <c r="B28" s="127" t="s">
        <v>2581</v>
      </c>
    </row>
    <row r="29" spans="1:7" ht="58" x14ac:dyDescent="0.35">
      <c r="A29" s="136" t="s">
        <v>2582</v>
      </c>
      <c r="B29" s="127" t="s">
        <v>2583</v>
      </c>
    </row>
    <row r="30" spans="1:7" ht="29" x14ac:dyDescent="0.35">
      <c r="A30" s="136" t="s">
        <v>2584</v>
      </c>
      <c r="B30" s="127" t="s">
        <v>2585</v>
      </c>
    </row>
    <row r="31" spans="1:7" ht="29" x14ac:dyDescent="0.35">
      <c r="A31" s="136" t="s">
        <v>2586</v>
      </c>
      <c r="B31" s="127" t="s">
        <v>2587</v>
      </c>
    </row>
    <row r="32" spans="1:7" ht="29" x14ac:dyDescent="0.35">
      <c r="A32" s="136" t="s">
        <v>2588</v>
      </c>
      <c r="B32" s="127" t="s">
        <v>2589</v>
      </c>
    </row>
    <row r="33" spans="1:7" ht="43.5" x14ac:dyDescent="0.35">
      <c r="A33" s="136" t="s">
        <v>2590</v>
      </c>
      <c r="B33" s="127" t="s">
        <v>2591</v>
      </c>
    </row>
    <row r="34" spans="1:7" ht="188.5" x14ac:dyDescent="0.35">
      <c r="A34" s="137" t="s">
        <v>2606</v>
      </c>
      <c r="B34" s="137"/>
      <c r="C34" s="137"/>
      <c r="D34" s="137"/>
      <c r="E34" s="137"/>
      <c r="F34" s="137"/>
      <c r="G34" s="137"/>
    </row>
    <row r="35" spans="1:7" ht="409.5" x14ac:dyDescent="0.35">
      <c r="A35" s="130" t="s">
        <v>2607</v>
      </c>
      <c r="B35" s="130"/>
      <c r="C35" s="130"/>
      <c r="D35" s="130"/>
      <c r="E35" s="130"/>
      <c r="F35" s="130"/>
      <c r="G35" s="130"/>
    </row>
    <row r="36" spans="1:7" x14ac:dyDescent="0.35">
      <c r="A36" s="130"/>
      <c r="B36" s="130"/>
      <c r="C36" s="130"/>
      <c r="D36" s="130"/>
      <c r="E36" s="130"/>
      <c r="F36" s="130"/>
      <c r="G36" s="130"/>
    </row>
    <row r="37" spans="1:7" ht="58" x14ac:dyDescent="0.35">
      <c r="A37" s="138" t="s">
        <v>2339</v>
      </c>
      <c r="B37" s="138" t="s">
        <v>2352</v>
      </c>
      <c r="C37" s="138" t="s">
        <v>2608</v>
      </c>
      <c r="D37" s="138" t="s">
        <v>190</v>
      </c>
      <c r="E37" s="138" t="s">
        <v>2609</v>
      </c>
      <c r="F37" s="138" t="s">
        <v>2610</v>
      </c>
      <c r="G37" s="138" t="s">
        <v>2611</v>
      </c>
    </row>
    <row r="38" spans="1:7" ht="174" x14ac:dyDescent="0.35">
      <c r="A38" s="130" t="s">
        <v>2612</v>
      </c>
      <c r="B38" s="130" t="s">
        <v>2613</v>
      </c>
      <c r="C38" s="130" t="s">
        <v>2614</v>
      </c>
      <c r="D38" s="130" t="s">
        <v>2615</v>
      </c>
      <c r="E38" s="130" t="s">
        <v>2616</v>
      </c>
      <c r="F38" s="130" t="s">
        <v>2617</v>
      </c>
      <c r="G38" s="139" t="s">
        <v>2649</v>
      </c>
    </row>
    <row r="39" spans="1:7" ht="159.5" x14ac:dyDescent="0.35">
      <c r="A39" s="130" t="s">
        <v>2618</v>
      </c>
      <c r="B39" s="130" t="s">
        <v>2558</v>
      </c>
      <c r="C39" s="130" t="s">
        <v>2619</v>
      </c>
      <c r="D39" s="130" t="s">
        <v>2620</v>
      </c>
      <c r="E39" s="130" t="s">
        <v>2621</v>
      </c>
      <c r="F39" s="130" t="s">
        <v>2622</v>
      </c>
      <c r="G39" s="139" t="s">
        <v>2650</v>
      </c>
    </row>
    <row r="40" spans="1:7" ht="145" x14ac:dyDescent="0.35">
      <c r="A40" s="130" t="s">
        <v>2623</v>
      </c>
      <c r="B40" s="130" t="s">
        <v>2571</v>
      </c>
      <c r="C40" s="130" t="s">
        <v>2624</v>
      </c>
      <c r="D40" s="130" t="s">
        <v>2625</v>
      </c>
      <c r="E40" s="130" t="s">
        <v>2626</v>
      </c>
      <c r="F40" s="130" t="s">
        <v>2627</v>
      </c>
      <c r="G40" s="139" t="s">
        <v>2651</v>
      </c>
    </row>
    <row r="41" spans="1:7" x14ac:dyDescent="0.35">
      <c r="A41" s="130"/>
      <c r="B41" s="130"/>
      <c r="C41" s="130"/>
      <c r="D41" s="130"/>
      <c r="E41" s="130"/>
      <c r="F41" s="130"/>
      <c r="G41" s="130"/>
    </row>
    <row r="42" spans="1:7" ht="43.5" x14ac:dyDescent="0.35">
      <c r="A42" s="130" t="s">
        <v>2628</v>
      </c>
      <c r="B42" s="130"/>
      <c r="C42" s="130"/>
      <c r="D42" s="130"/>
      <c r="E42" s="130"/>
      <c r="F42" s="130"/>
      <c r="G42" s="130"/>
    </row>
    <row r="43" spans="1:7" ht="217.5" x14ac:dyDescent="0.35">
      <c r="A43" s="130" t="s">
        <v>2629</v>
      </c>
      <c r="B43" s="130"/>
      <c r="C43" s="130"/>
      <c r="D43" s="130"/>
      <c r="E43" s="130"/>
      <c r="F43" s="130"/>
      <c r="G43" s="130"/>
    </row>
    <row r="44" spans="1:7" ht="188.5" x14ac:dyDescent="0.35">
      <c r="A44" s="130" t="s">
        <v>2630</v>
      </c>
      <c r="B44" s="130"/>
      <c r="C44" s="130"/>
      <c r="D44" s="130"/>
      <c r="E44" s="130"/>
      <c r="F44" s="130"/>
      <c r="G44" s="130"/>
    </row>
    <row r="45" spans="1:7" ht="319" x14ac:dyDescent="0.35">
      <c r="A45" s="130" t="s">
        <v>2631</v>
      </c>
      <c r="B45" s="130"/>
      <c r="C45" s="130"/>
      <c r="D45" s="130"/>
      <c r="E45" s="130"/>
      <c r="F45" s="130"/>
      <c r="G45" s="130"/>
    </row>
    <row r="46" spans="1:7" x14ac:dyDescent="0.35">
      <c r="A46" s="130"/>
      <c r="B46" s="130"/>
      <c r="C46" s="130"/>
      <c r="D46" s="130"/>
      <c r="E46" s="130"/>
      <c r="F46" s="130"/>
      <c r="G46" s="130"/>
    </row>
    <row r="47" spans="1:7" ht="43.5" x14ac:dyDescent="0.35">
      <c r="A47" s="130" t="s">
        <v>2632</v>
      </c>
      <c r="B47" s="130"/>
      <c r="C47" s="130"/>
      <c r="D47" s="130"/>
      <c r="E47" s="130"/>
      <c r="F47" s="130"/>
      <c r="G47" s="130"/>
    </row>
    <row r="48" spans="1:7" ht="72.5" x14ac:dyDescent="0.35">
      <c r="A48" s="130" t="s">
        <v>2633</v>
      </c>
      <c r="B48" s="130"/>
      <c r="C48" s="130"/>
      <c r="D48" s="130"/>
      <c r="E48" s="130"/>
      <c r="F48" s="130"/>
      <c r="G48" s="130"/>
    </row>
    <row r="49" spans="1:7" ht="116" x14ac:dyDescent="0.35">
      <c r="A49" s="130" t="s">
        <v>2634</v>
      </c>
      <c r="B49" s="130"/>
      <c r="C49" s="130"/>
      <c r="D49" s="130"/>
      <c r="E49" s="130"/>
      <c r="F49" s="130"/>
      <c r="G49" s="130"/>
    </row>
    <row r="50" spans="1:7" ht="130.5" x14ac:dyDescent="0.35">
      <c r="A50" s="130" t="s">
        <v>2635</v>
      </c>
      <c r="B50" s="130"/>
      <c r="C50" s="130"/>
      <c r="D50" s="130"/>
      <c r="E50" s="130"/>
      <c r="F50" s="130"/>
      <c r="G50" s="130"/>
    </row>
  </sheetData>
  <mergeCells count="5">
    <mergeCell ref="A1:G1"/>
    <mergeCell ref="A3:G3"/>
    <mergeCell ref="A8:G8"/>
    <mergeCell ref="A19:G19"/>
    <mergeCell ref="A27:G2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213C-25A7-45E5-B1F8-B279E3AF7F16}">
  <dimension ref="A1:I43"/>
  <sheetViews>
    <sheetView topLeftCell="E1" workbookViewId="0">
      <selection activeCell="B35" sqref="B35"/>
    </sheetView>
  </sheetViews>
  <sheetFormatPr defaultRowHeight="14.5" x14ac:dyDescent="0.35"/>
  <cols>
    <col min="1" max="1" width="5.453125" customWidth="1"/>
    <col min="2" max="2" width="32.7265625" customWidth="1"/>
    <col min="3" max="3" width="14.54296875" customWidth="1"/>
    <col min="4" max="4" width="50.90625" customWidth="1"/>
    <col min="5" max="5" width="40" customWidth="1"/>
    <col min="6" max="7" width="29.08984375" customWidth="1"/>
    <col min="8" max="8" width="47.26953125" customWidth="1"/>
    <col min="9" max="9" width="36.36328125" customWidth="1"/>
  </cols>
  <sheetData>
    <row r="1" spans="1:9" x14ac:dyDescent="0.35">
      <c r="A1" s="249" t="s">
        <v>2340</v>
      </c>
      <c r="B1" s="249"/>
      <c r="C1" s="249"/>
      <c r="D1" s="249"/>
      <c r="E1" s="249"/>
      <c r="F1" s="249"/>
      <c r="G1" s="249"/>
      <c r="H1" s="249"/>
      <c r="I1" s="249"/>
    </row>
    <row r="2" spans="1:9" x14ac:dyDescent="0.35">
      <c r="A2" s="250" t="s">
        <v>2341</v>
      </c>
      <c r="B2" s="250"/>
      <c r="C2" s="250"/>
      <c r="D2" s="250"/>
      <c r="E2" s="250"/>
      <c r="F2" s="250"/>
      <c r="G2" s="250"/>
      <c r="H2" s="250"/>
      <c r="I2" s="250"/>
    </row>
    <row r="3" spans="1:9" x14ac:dyDescent="0.35">
      <c r="A3" s="241" t="s">
        <v>2342</v>
      </c>
      <c r="B3" s="241"/>
      <c r="C3" s="241"/>
      <c r="D3" s="241"/>
      <c r="E3" s="241"/>
      <c r="F3" s="241"/>
      <c r="G3" s="241"/>
      <c r="H3" s="241"/>
      <c r="I3" s="241"/>
    </row>
    <row r="4" spans="1:9" x14ac:dyDescent="0.35">
      <c r="A4" s="241" t="s">
        <v>2343</v>
      </c>
      <c r="B4" s="241"/>
      <c r="C4" s="241"/>
      <c r="D4" s="241"/>
      <c r="E4" s="241"/>
      <c r="F4" s="241"/>
      <c r="G4" s="241"/>
      <c r="H4" s="241"/>
      <c r="I4" s="241"/>
    </row>
    <row r="5" spans="1:9" x14ac:dyDescent="0.35">
      <c r="A5" s="241" t="s">
        <v>2344</v>
      </c>
      <c r="B5" s="241"/>
      <c r="C5" s="241"/>
      <c r="D5" s="241"/>
      <c r="E5" s="241"/>
      <c r="F5" s="241"/>
      <c r="G5" s="241"/>
      <c r="H5" s="241"/>
      <c r="I5" s="241"/>
    </row>
    <row r="6" spans="1:9" x14ac:dyDescent="0.35">
      <c r="A6" s="241" t="s">
        <v>2345</v>
      </c>
      <c r="B6" s="241"/>
      <c r="C6" s="241"/>
      <c r="D6" s="241"/>
      <c r="E6" s="241"/>
      <c r="F6" s="241"/>
      <c r="G6" s="241"/>
      <c r="H6" s="241"/>
      <c r="I6" s="241"/>
    </row>
    <row r="7" spans="1:9" x14ac:dyDescent="0.35">
      <c r="A7" s="241" t="s">
        <v>2346</v>
      </c>
      <c r="B7" s="241"/>
      <c r="C7" s="241"/>
      <c r="D7" s="241"/>
      <c r="E7" s="241"/>
      <c r="F7" s="241"/>
      <c r="G7" s="241"/>
      <c r="H7" s="241"/>
      <c r="I7" s="241"/>
    </row>
    <row r="8" spans="1:9" x14ac:dyDescent="0.35">
      <c r="A8" s="241" t="s">
        <v>2347</v>
      </c>
      <c r="B8" s="241"/>
      <c r="C8" s="241"/>
      <c r="D8" s="241"/>
      <c r="E8" s="241"/>
      <c r="F8" s="241"/>
      <c r="G8" s="241"/>
      <c r="H8" s="241"/>
      <c r="I8" s="241"/>
    </row>
    <row r="9" spans="1:9" x14ac:dyDescent="0.35">
      <c r="A9" s="241" t="s">
        <v>2348</v>
      </c>
      <c r="B9" s="241"/>
      <c r="C9" s="241"/>
      <c r="D9" s="241"/>
      <c r="E9" s="241"/>
      <c r="F9" s="241"/>
      <c r="G9" s="241"/>
      <c r="H9" s="241"/>
      <c r="I9" s="241"/>
    </row>
    <row r="10" spans="1:9" x14ac:dyDescent="0.35">
      <c r="A10" s="241" t="s">
        <v>2349</v>
      </c>
      <c r="B10" s="241"/>
      <c r="C10" s="241"/>
      <c r="D10" s="241"/>
      <c r="E10" s="241"/>
      <c r="F10" s="241"/>
      <c r="G10" s="241"/>
      <c r="H10" s="241"/>
      <c r="I10" s="241"/>
    </row>
    <row r="12" spans="1:9" x14ac:dyDescent="0.35">
      <c r="A12" s="250" t="s">
        <v>2350</v>
      </c>
      <c r="B12" s="250"/>
      <c r="C12" s="250"/>
      <c r="D12" s="250"/>
      <c r="E12" s="250"/>
      <c r="F12" s="250"/>
      <c r="G12" s="250"/>
      <c r="H12" s="250"/>
      <c r="I12" s="250"/>
    </row>
    <row r="13" spans="1:9" x14ac:dyDescent="0.35">
      <c r="A13" s="128" t="s">
        <v>2339</v>
      </c>
      <c r="B13" s="128" t="s">
        <v>2351</v>
      </c>
      <c r="C13" s="128" t="s">
        <v>2352</v>
      </c>
      <c r="D13" s="128" t="s">
        <v>2353</v>
      </c>
      <c r="E13" s="128" t="s">
        <v>2354</v>
      </c>
      <c r="F13" s="128" t="s">
        <v>2355</v>
      </c>
      <c r="G13" s="128" t="s">
        <v>2356</v>
      </c>
      <c r="H13" s="128" t="s">
        <v>2357</v>
      </c>
      <c r="I13" s="128" t="s">
        <v>2358</v>
      </c>
    </row>
    <row r="14" spans="1:9" ht="72.5" x14ac:dyDescent="0.35">
      <c r="A14" s="129">
        <v>1</v>
      </c>
      <c r="B14" s="129" t="s">
        <v>2359</v>
      </c>
      <c r="C14" s="129" t="s">
        <v>2360</v>
      </c>
      <c r="D14" s="129" t="s">
        <v>1541</v>
      </c>
      <c r="E14" s="129" t="s">
        <v>2361</v>
      </c>
      <c r="F14" s="129" t="s">
        <v>2362</v>
      </c>
      <c r="G14" s="129" t="s">
        <v>2363</v>
      </c>
      <c r="H14" s="129" t="s">
        <v>2592</v>
      </c>
      <c r="I14" s="140" t="s">
        <v>2636</v>
      </c>
    </row>
    <row r="15" spans="1:9" ht="72" x14ac:dyDescent="0.35">
      <c r="A15" s="129">
        <v>2</v>
      </c>
      <c r="B15" s="129" t="s">
        <v>2364</v>
      </c>
      <c r="C15" s="129" t="s">
        <v>2365</v>
      </c>
      <c r="D15" s="129" t="s">
        <v>812</v>
      </c>
      <c r="E15" s="129" t="s">
        <v>2366</v>
      </c>
      <c r="F15" s="129" t="s">
        <v>2367</v>
      </c>
      <c r="G15" s="129" t="s">
        <v>2368</v>
      </c>
      <c r="H15" s="129" t="s">
        <v>2593</v>
      </c>
      <c r="I15" s="140" t="s">
        <v>2637</v>
      </c>
    </row>
    <row r="16" spans="1:9" ht="58" x14ac:dyDescent="0.35">
      <c r="A16" s="129">
        <v>3</v>
      </c>
      <c r="B16" s="129" t="s">
        <v>2369</v>
      </c>
      <c r="C16" s="129" t="s">
        <v>2370</v>
      </c>
      <c r="D16" s="129" t="s">
        <v>1099</v>
      </c>
      <c r="E16" s="129" t="s">
        <v>2371</v>
      </c>
      <c r="F16" s="129" t="s">
        <v>2372</v>
      </c>
      <c r="G16" s="129" t="s">
        <v>2373</v>
      </c>
      <c r="H16" s="129" t="s">
        <v>2594</v>
      </c>
      <c r="I16" s="140" t="s">
        <v>2638</v>
      </c>
    </row>
    <row r="17" spans="1:9" ht="72.5" x14ac:dyDescent="0.35">
      <c r="A17" s="129">
        <v>4</v>
      </c>
      <c r="B17" s="129" t="s">
        <v>2374</v>
      </c>
      <c r="C17" s="129" t="s">
        <v>2375</v>
      </c>
      <c r="D17" s="129" t="s">
        <v>1371</v>
      </c>
      <c r="E17" s="129" t="s">
        <v>2376</v>
      </c>
      <c r="F17" s="129" t="s">
        <v>2377</v>
      </c>
      <c r="G17" s="129" t="s">
        <v>2378</v>
      </c>
      <c r="H17" s="129" t="s">
        <v>2595</v>
      </c>
      <c r="I17" s="140" t="s">
        <v>2639</v>
      </c>
    </row>
    <row r="18" spans="1:9" ht="43.5" x14ac:dyDescent="0.35">
      <c r="A18" s="130">
        <v>5</v>
      </c>
      <c r="B18" s="130" t="s">
        <v>2379</v>
      </c>
      <c r="C18" s="130" t="s">
        <v>2380</v>
      </c>
      <c r="D18" s="130" t="s">
        <v>2381</v>
      </c>
      <c r="E18" s="130" t="s">
        <v>2382</v>
      </c>
      <c r="F18" s="130" t="s">
        <v>2383</v>
      </c>
      <c r="G18" s="130" t="s">
        <v>2384</v>
      </c>
      <c r="H18" s="130" t="s">
        <v>2596</v>
      </c>
      <c r="I18" s="140" t="s">
        <v>2640</v>
      </c>
    </row>
    <row r="19" spans="1:9" ht="58" x14ac:dyDescent="0.35">
      <c r="A19" s="130">
        <v>6</v>
      </c>
      <c r="B19" s="130" t="s">
        <v>2385</v>
      </c>
      <c r="C19" s="130" t="s">
        <v>2386</v>
      </c>
      <c r="D19" s="130" t="s">
        <v>2387</v>
      </c>
      <c r="E19" s="130" t="s">
        <v>2388</v>
      </c>
      <c r="F19" s="130" t="s">
        <v>2389</v>
      </c>
      <c r="G19" s="130" t="s">
        <v>2390</v>
      </c>
      <c r="H19" s="130" t="s">
        <v>2597</v>
      </c>
      <c r="I19" s="140" t="s">
        <v>2640</v>
      </c>
    </row>
    <row r="20" spans="1:9" ht="43.5" x14ac:dyDescent="0.35">
      <c r="A20" s="130">
        <v>7</v>
      </c>
      <c r="B20" s="130" t="s">
        <v>2391</v>
      </c>
      <c r="C20" s="130" t="s">
        <v>2392</v>
      </c>
      <c r="D20" s="130" t="s">
        <v>1332</v>
      </c>
      <c r="E20" s="130" t="s">
        <v>2393</v>
      </c>
      <c r="F20" s="130" t="s">
        <v>2394</v>
      </c>
      <c r="G20" s="130" t="s">
        <v>2395</v>
      </c>
      <c r="H20" s="130" t="s">
        <v>2598</v>
      </c>
      <c r="I20" s="140" t="s">
        <v>2640</v>
      </c>
    </row>
    <row r="21" spans="1:9" ht="72.5" x14ac:dyDescent="0.35">
      <c r="A21" s="129">
        <v>8</v>
      </c>
      <c r="B21" s="129" t="s">
        <v>2396</v>
      </c>
      <c r="C21" s="129" t="s">
        <v>2397</v>
      </c>
      <c r="D21" s="129" t="s">
        <v>2398</v>
      </c>
      <c r="E21" s="129" t="s">
        <v>2399</v>
      </c>
      <c r="F21" s="129" t="s">
        <v>2400</v>
      </c>
      <c r="G21" s="129" t="s">
        <v>2401</v>
      </c>
      <c r="H21" s="129" t="s">
        <v>2599</v>
      </c>
      <c r="I21" s="140" t="s">
        <v>2641</v>
      </c>
    </row>
    <row r="22" spans="1:9" ht="58" x14ac:dyDescent="0.35">
      <c r="A22" s="130">
        <v>9</v>
      </c>
      <c r="B22" s="130" t="s">
        <v>2402</v>
      </c>
      <c r="C22" s="130" t="s">
        <v>2403</v>
      </c>
      <c r="D22" s="130" t="s">
        <v>2404</v>
      </c>
      <c r="E22" s="130" t="s">
        <v>2405</v>
      </c>
      <c r="F22" s="130" t="s">
        <v>2406</v>
      </c>
      <c r="G22" s="130" t="s">
        <v>2407</v>
      </c>
      <c r="H22" s="130" t="s">
        <v>2600</v>
      </c>
      <c r="I22" s="140" t="s">
        <v>2642</v>
      </c>
    </row>
    <row r="23" spans="1:9" ht="58" x14ac:dyDescent="0.35">
      <c r="A23" s="130">
        <v>10</v>
      </c>
      <c r="B23" s="130" t="s">
        <v>2408</v>
      </c>
      <c r="C23" s="130" t="s">
        <v>2409</v>
      </c>
      <c r="D23" s="130" t="s">
        <v>2410</v>
      </c>
      <c r="E23" s="130" t="s">
        <v>2411</v>
      </c>
      <c r="F23" s="130" t="s">
        <v>2412</v>
      </c>
      <c r="G23" s="130" t="s">
        <v>2413</v>
      </c>
      <c r="H23" s="130" t="s">
        <v>2601</v>
      </c>
      <c r="I23" s="140" t="s">
        <v>2643</v>
      </c>
    </row>
    <row r="24" spans="1:9" ht="58" x14ac:dyDescent="0.35">
      <c r="A24" s="130">
        <v>11</v>
      </c>
      <c r="B24" s="130" t="s">
        <v>2414</v>
      </c>
      <c r="C24" s="130" t="s">
        <v>2415</v>
      </c>
      <c r="D24" s="130" t="s">
        <v>2416</v>
      </c>
      <c r="E24" s="130" t="s">
        <v>2417</v>
      </c>
      <c r="F24" s="130" t="s">
        <v>2418</v>
      </c>
      <c r="G24" s="130" t="s">
        <v>2419</v>
      </c>
      <c r="H24" s="130" t="s">
        <v>2602</v>
      </c>
      <c r="I24" s="140" t="s">
        <v>2640</v>
      </c>
    </row>
    <row r="25" spans="1:9" ht="72.5" x14ac:dyDescent="0.35">
      <c r="A25" s="130">
        <v>12</v>
      </c>
      <c r="B25" s="130" t="s">
        <v>2420</v>
      </c>
      <c r="C25" s="130" t="s">
        <v>2421</v>
      </c>
      <c r="D25" s="130" t="s">
        <v>2422</v>
      </c>
      <c r="E25" s="130" t="s">
        <v>2423</v>
      </c>
      <c r="F25" s="130" t="s">
        <v>2424</v>
      </c>
      <c r="G25" s="130" t="s">
        <v>2425</v>
      </c>
      <c r="H25" s="130" t="s">
        <v>2603</v>
      </c>
      <c r="I25" s="140" t="s">
        <v>2644</v>
      </c>
    </row>
    <row r="26" spans="1:9" ht="58" x14ac:dyDescent="0.35">
      <c r="A26" s="130">
        <v>13</v>
      </c>
      <c r="B26" s="130" t="s">
        <v>2426</v>
      </c>
      <c r="C26" s="130" t="s">
        <v>2427</v>
      </c>
      <c r="D26" s="130" t="s">
        <v>2428</v>
      </c>
      <c r="E26" s="130" t="s">
        <v>2429</v>
      </c>
      <c r="F26" s="130" t="s">
        <v>2430</v>
      </c>
      <c r="G26" s="130" t="s">
        <v>2431</v>
      </c>
      <c r="H26" s="130" t="s">
        <v>2604</v>
      </c>
      <c r="I26" s="140" t="s">
        <v>2645</v>
      </c>
    </row>
    <row r="27" spans="1:9" ht="58" x14ac:dyDescent="0.35">
      <c r="A27" s="130">
        <v>14</v>
      </c>
      <c r="B27" s="130" t="s">
        <v>2432</v>
      </c>
      <c r="C27" s="130" t="s">
        <v>2433</v>
      </c>
      <c r="D27" s="130" t="s">
        <v>2398</v>
      </c>
      <c r="E27" s="130" t="s">
        <v>2434</v>
      </c>
      <c r="F27" s="130" t="s">
        <v>2424</v>
      </c>
      <c r="G27" s="130" t="s">
        <v>2435</v>
      </c>
      <c r="H27" s="130" t="s">
        <v>2605</v>
      </c>
      <c r="I27" s="140" t="s">
        <v>2646</v>
      </c>
    </row>
    <row r="29" spans="1:9" x14ac:dyDescent="0.35">
      <c r="A29" s="250" t="s">
        <v>2436</v>
      </c>
      <c r="B29" s="250"/>
      <c r="C29" s="250"/>
      <c r="D29" s="250"/>
      <c r="E29" s="250"/>
      <c r="F29" s="250"/>
      <c r="G29" s="250"/>
      <c r="H29" s="250"/>
      <c r="I29" s="250"/>
    </row>
    <row r="30" spans="1:9" x14ac:dyDescent="0.35">
      <c r="A30" s="241" t="s">
        <v>2437</v>
      </c>
      <c r="B30" s="241"/>
      <c r="C30" s="241"/>
      <c r="D30" s="241"/>
      <c r="E30" s="241"/>
      <c r="F30" s="241"/>
      <c r="G30" s="241"/>
      <c r="H30" s="241"/>
      <c r="I30" s="241"/>
    </row>
    <row r="31" spans="1:9" x14ac:dyDescent="0.35">
      <c r="A31" s="241" t="s">
        <v>2438</v>
      </c>
      <c r="B31" s="241"/>
      <c r="C31" s="241"/>
      <c r="D31" s="241"/>
      <c r="E31" s="241"/>
      <c r="F31" s="241"/>
      <c r="G31" s="241"/>
      <c r="H31" s="241"/>
      <c r="I31" s="241"/>
    </row>
    <row r="32" spans="1:9" x14ac:dyDescent="0.35">
      <c r="A32" s="241" t="s">
        <v>2439</v>
      </c>
      <c r="B32" s="241"/>
      <c r="C32" s="241"/>
      <c r="D32" s="241"/>
      <c r="E32" s="241"/>
      <c r="F32" s="241"/>
      <c r="G32" s="241"/>
      <c r="H32" s="241"/>
      <c r="I32" s="241"/>
    </row>
    <row r="33" spans="1:9" x14ac:dyDescent="0.35">
      <c r="A33" s="241" t="s">
        <v>2440</v>
      </c>
      <c r="B33" s="241"/>
      <c r="C33" s="241"/>
      <c r="D33" s="241"/>
      <c r="E33" s="241"/>
      <c r="F33" s="241"/>
      <c r="G33" s="241"/>
      <c r="H33" s="241"/>
      <c r="I33" s="241"/>
    </row>
    <row r="34" spans="1:9" x14ac:dyDescent="0.35">
      <c r="A34" s="241" t="s">
        <v>2441</v>
      </c>
      <c r="B34" s="241"/>
      <c r="C34" s="241"/>
      <c r="D34" s="241"/>
      <c r="E34" s="241"/>
      <c r="F34" s="241"/>
      <c r="G34" s="241"/>
      <c r="H34" s="241"/>
      <c r="I34" s="241"/>
    </row>
    <row r="35" spans="1:9" x14ac:dyDescent="0.35">
      <c r="A35" s="241" t="s">
        <v>2442</v>
      </c>
      <c r="B35" s="241"/>
      <c r="C35" s="241"/>
      <c r="D35" s="241"/>
      <c r="E35" s="241"/>
      <c r="F35" s="241"/>
      <c r="G35" s="241"/>
      <c r="H35" s="241"/>
      <c r="I35" s="241"/>
    </row>
    <row r="36" spans="1:9" x14ac:dyDescent="0.35">
      <c r="A36" s="241" t="s">
        <v>2443</v>
      </c>
      <c r="B36" s="241"/>
      <c r="C36" s="241"/>
      <c r="D36" s="241"/>
      <c r="E36" s="241"/>
      <c r="F36" s="241"/>
      <c r="G36" s="241"/>
      <c r="H36" s="241"/>
      <c r="I36" s="241"/>
    </row>
    <row r="37" spans="1:9" x14ac:dyDescent="0.35">
      <c r="A37" s="241" t="s">
        <v>2444</v>
      </c>
      <c r="B37" s="241"/>
      <c r="C37" s="241"/>
      <c r="D37" s="241"/>
      <c r="E37" s="241"/>
      <c r="F37" s="241"/>
      <c r="G37" s="241"/>
      <c r="H37" s="241"/>
      <c r="I37" s="241"/>
    </row>
    <row r="39" spans="1:9" x14ac:dyDescent="0.35">
      <c r="A39" s="250" t="s">
        <v>2445</v>
      </c>
      <c r="B39" s="250"/>
      <c r="C39" s="250"/>
      <c r="D39" s="250"/>
      <c r="E39" s="250"/>
      <c r="F39" s="250"/>
      <c r="G39" s="250"/>
      <c r="H39" s="250"/>
      <c r="I39" s="250"/>
    </row>
    <row r="40" spans="1:9" x14ac:dyDescent="0.35">
      <c r="A40" s="241" t="s">
        <v>2446</v>
      </c>
      <c r="B40" s="241"/>
      <c r="C40" s="241"/>
      <c r="D40" s="241"/>
      <c r="E40" s="241"/>
      <c r="F40" s="241"/>
      <c r="G40" s="241"/>
      <c r="H40" s="241"/>
      <c r="I40" s="241"/>
    </row>
    <row r="41" spans="1:9" x14ac:dyDescent="0.35">
      <c r="A41" s="241" t="s">
        <v>2447</v>
      </c>
      <c r="B41" s="241"/>
      <c r="C41" s="241"/>
      <c r="D41" s="241"/>
      <c r="E41" s="241"/>
      <c r="F41" s="241"/>
      <c r="G41" s="241"/>
      <c r="H41" s="241"/>
      <c r="I41" s="241"/>
    </row>
    <row r="42" spans="1:9" x14ac:dyDescent="0.35">
      <c r="A42" s="241" t="s">
        <v>2448</v>
      </c>
      <c r="B42" s="241"/>
      <c r="C42" s="241"/>
      <c r="D42" s="241"/>
      <c r="E42" s="241"/>
      <c r="F42" s="241"/>
      <c r="G42" s="241"/>
      <c r="H42" s="241"/>
      <c r="I42" s="241"/>
    </row>
    <row r="43" spans="1:9" x14ac:dyDescent="0.35">
      <c r="A43" s="241" t="s">
        <v>2449</v>
      </c>
      <c r="B43" s="241"/>
      <c r="C43" s="241"/>
      <c r="D43" s="241"/>
      <c r="E43" s="241"/>
      <c r="F43" s="241"/>
      <c r="G43" s="241"/>
      <c r="H43" s="241"/>
      <c r="I43" s="241"/>
    </row>
  </sheetData>
  <mergeCells count="25">
    <mergeCell ref="A43:I43"/>
    <mergeCell ref="A36:I36"/>
    <mergeCell ref="A37:I37"/>
    <mergeCell ref="A39:I39"/>
    <mergeCell ref="A40:I40"/>
    <mergeCell ref="A41:I41"/>
    <mergeCell ref="A42:I42"/>
    <mergeCell ref="A35:I35"/>
    <mergeCell ref="A7:I7"/>
    <mergeCell ref="A8:I8"/>
    <mergeCell ref="A9:I9"/>
    <mergeCell ref="A10:I10"/>
    <mergeCell ref="A12:I12"/>
    <mergeCell ref="A29:I29"/>
    <mergeCell ref="A30:I30"/>
    <mergeCell ref="A31:I31"/>
    <mergeCell ref="A32:I32"/>
    <mergeCell ref="A33:I33"/>
    <mergeCell ref="A34:I34"/>
    <mergeCell ref="A6:I6"/>
    <mergeCell ref="A1:I1"/>
    <mergeCell ref="A2:I2"/>
    <mergeCell ref="A3:I3"/>
    <mergeCell ref="A4:I4"/>
    <mergeCell ref="A5:I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9A76-E735-494A-896F-7D042E5B6E64}">
  <dimension ref="A1:I41"/>
  <sheetViews>
    <sheetView workbookViewId="0">
      <selection activeCell="B35" sqref="B35"/>
    </sheetView>
  </sheetViews>
  <sheetFormatPr defaultRowHeight="14.5" x14ac:dyDescent="0.35"/>
  <cols>
    <col min="1" max="1" width="11.54296875" bestFit="1" customWidth="1"/>
    <col min="2" max="2" width="15.26953125" customWidth="1"/>
    <col min="3" max="3" width="6.90625" customWidth="1"/>
    <col min="4" max="4" width="12.7265625" customWidth="1"/>
    <col min="5" max="6" width="10" customWidth="1"/>
    <col min="7" max="7" width="20.6328125" customWidth="1"/>
    <col min="8" max="9" width="10.90625" customWidth="1"/>
  </cols>
  <sheetData>
    <row r="1" spans="1:9" ht="90" customHeight="1" x14ac:dyDescent="0.35">
      <c r="A1" s="251" t="s">
        <v>2450</v>
      </c>
      <c r="B1" s="251"/>
      <c r="C1" s="251"/>
      <c r="D1" s="251"/>
      <c r="E1" s="251"/>
      <c r="F1" s="251"/>
      <c r="G1" s="251"/>
    </row>
    <row r="3" spans="1:9" x14ac:dyDescent="0.35">
      <c r="A3" s="252" t="s">
        <v>2451</v>
      </c>
      <c r="B3" s="252"/>
      <c r="C3" s="252"/>
      <c r="D3" s="252"/>
      <c r="E3" s="252"/>
      <c r="F3" s="252"/>
      <c r="G3" s="252"/>
    </row>
    <row r="4" spans="1:9" ht="116" x14ac:dyDescent="0.35">
      <c r="A4" s="127" t="s">
        <v>2452</v>
      </c>
      <c r="B4" s="127"/>
      <c r="C4" s="127"/>
      <c r="D4" s="127"/>
      <c r="E4" s="127"/>
      <c r="F4" s="127"/>
      <c r="G4" s="127"/>
    </row>
    <row r="5" spans="1:9" ht="174" x14ac:dyDescent="0.35">
      <c r="A5" s="127" t="s">
        <v>2453</v>
      </c>
      <c r="B5" s="127"/>
      <c r="C5" s="127"/>
      <c r="D5" s="127"/>
      <c r="E5" s="127"/>
      <c r="F5" s="127"/>
      <c r="G5" s="127"/>
    </row>
    <row r="6" spans="1:9" ht="145" x14ac:dyDescent="0.35">
      <c r="A6" s="127" t="s">
        <v>2454</v>
      </c>
      <c r="B6" s="127"/>
      <c r="C6" s="127"/>
      <c r="D6" s="127"/>
      <c r="E6" s="127"/>
      <c r="F6" s="127"/>
      <c r="G6" s="127"/>
    </row>
    <row r="7" spans="1:9" ht="188.5" x14ac:dyDescent="0.35">
      <c r="A7" s="127" t="s">
        <v>2455</v>
      </c>
      <c r="B7" s="127"/>
      <c r="C7" s="127"/>
      <c r="D7" s="127"/>
      <c r="E7" s="127"/>
      <c r="F7" s="127"/>
      <c r="G7" s="127"/>
    </row>
    <row r="8" spans="1:9" ht="174" x14ac:dyDescent="0.35">
      <c r="A8" s="127" t="s">
        <v>2456</v>
      </c>
      <c r="B8" s="127"/>
      <c r="C8" s="127"/>
      <c r="D8" s="127"/>
      <c r="E8" s="127"/>
      <c r="F8" s="127"/>
      <c r="G8" s="127"/>
    </row>
    <row r="9" spans="1:9" ht="116" x14ac:dyDescent="0.35">
      <c r="A9" s="127" t="s">
        <v>2457</v>
      </c>
      <c r="B9" s="127"/>
      <c r="C9" s="127"/>
      <c r="D9" s="127"/>
      <c r="E9" s="127"/>
      <c r="F9" s="127"/>
      <c r="G9" s="127"/>
    </row>
    <row r="10" spans="1:9" ht="130.5" x14ac:dyDescent="0.35">
      <c r="A10" s="127" t="s">
        <v>2458</v>
      </c>
      <c r="B10" s="127"/>
      <c r="C10" s="127"/>
      <c r="D10" s="127"/>
      <c r="E10" s="127"/>
      <c r="F10" s="127"/>
      <c r="G10" s="127"/>
    </row>
    <row r="12" spans="1:9" ht="18.5" customHeight="1" x14ac:dyDescent="0.35">
      <c r="A12" s="253" t="s">
        <v>2459</v>
      </c>
      <c r="B12" s="253"/>
      <c r="C12" s="253"/>
      <c r="D12" s="253"/>
      <c r="E12" s="253"/>
      <c r="F12" s="253"/>
      <c r="G12" s="253"/>
    </row>
    <row r="13" spans="1:9" ht="40.5" customHeight="1" x14ac:dyDescent="0.35">
      <c r="A13" s="131" t="s">
        <v>2460</v>
      </c>
      <c r="B13" s="131" t="s">
        <v>2461</v>
      </c>
      <c r="C13" s="131" t="s">
        <v>2462</v>
      </c>
      <c r="D13" s="131" t="s">
        <v>2463</v>
      </c>
      <c r="E13" s="131" t="s">
        <v>2464</v>
      </c>
      <c r="F13" s="131" t="s">
        <v>2465</v>
      </c>
      <c r="G13" s="131" t="s">
        <v>2466</v>
      </c>
      <c r="H13" s="131" t="s">
        <v>2467</v>
      </c>
      <c r="I13" s="131" t="s">
        <v>2468</v>
      </c>
    </row>
    <row r="14" spans="1:9" ht="296" customHeight="1" x14ac:dyDescent="0.35">
      <c r="A14" s="132" t="s">
        <v>2469</v>
      </c>
      <c r="B14" s="132" t="s">
        <v>2427</v>
      </c>
      <c r="C14" s="132" t="s">
        <v>2470</v>
      </c>
      <c r="D14" s="132" t="s">
        <v>2471</v>
      </c>
      <c r="E14" s="132" t="s">
        <v>2472</v>
      </c>
      <c r="F14" s="132" t="s">
        <v>2473</v>
      </c>
      <c r="G14" s="133" t="s">
        <v>2474</v>
      </c>
      <c r="H14" s="132" t="s">
        <v>2604</v>
      </c>
      <c r="I14" s="140" t="s">
        <v>2640</v>
      </c>
    </row>
    <row r="15" spans="1:9" ht="353.5" customHeight="1" x14ac:dyDescent="0.35">
      <c r="A15" s="132" t="s">
        <v>2475</v>
      </c>
      <c r="B15" s="132" t="s">
        <v>2476</v>
      </c>
      <c r="C15" s="132" t="s">
        <v>2477</v>
      </c>
      <c r="D15" s="132" t="s">
        <v>2478</v>
      </c>
      <c r="E15" s="132" t="s">
        <v>2479</v>
      </c>
      <c r="F15" s="132" t="s">
        <v>2480</v>
      </c>
      <c r="G15" s="133" t="s">
        <v>2474</v>
      </c>
      <c r="H15" s="132" t="s">
        <v>2603</v>
      </c>
      <c r="I15" s="140" t="s">
        <v>2640</v>
      </c>
    </row>
    <row r="16" spans="1:9" ht="409.5" x14ac:dyDescent="0.35">
      <c r="A16" s="132" t="s">
        <v>2481</v>
      </c>
      <c r="B16" s="132" t="s">
        <v>2433</v>
      </c>
      <c r="C16" s="132" t="s">
        <v>2482</v>
      </c>
      <c r="D16" s="132" t="s">
        <v>2483</v>
      </c>
      <c r="E16" s="132" t="s">
        <v>2484</v>
      </c>
      <c r="F16" s="132" t="s">
        <v>2485</v>
      </c>
      <c r="G16" s="133" t="s">
        <v>2474</v>
      </c>
      <c r="H16" s="132" t="s">
        <v>2599</v>
      </c>
      <c r="I16" s="140" t="s">
        <v>2647</v>
      </c>
    </row>
    <row r="17" spans="1:9" ht="409.5" x14ac:dyDescent="0.35">
      <c r="A17" s="132" t="s">
        <v>2486</v>
      </c>
      <c r="B17" s="132" t="s">
        <v>2487</v>
      </c>
      <c r="C17" s="132" t="s">
        <v>2488</v>
      </c>
      <c r="D17" s="132" t="s">
        <v>2489</v>
      </c>
      <c r="E17" s="132" t="s">
        <v>2490</v>
      </c>
      <c r="F17" s="132" t="s">
        <v>2491</v>
      </c>
      <c r="G17" s="134" t="s">
        <v>2492</v>
      </c>
      <c r="H17" s="132"/>
      <c r="I17" s="140" t="s">
        <v>2648</v>
      </c>
    </row>
    <row r="19" spans="1:9" ht="47" customHeight="1" x14ac:dyDescent="0.35">
      <c r="A19" s="254" t="s">
        <v>2493</v>
      </c>
      <c r="B19" s="254"/>
      <c r="C19" s="254"/>
      <c r="D19" s="254"/>
      <c r="E19" s="254"/>
      <c r="F19" s="254"/>
      <c r="G19" s="254"/>
    </row>
    <row r="20" spans="1:9" ht="145" x14ac:dyDescent="0.35">
      <c r="A20" s="127" t="s">
        <v>2494</v>
      </c>
      <c r="B20" s="127"/>
      <c r="C20" s="127"/>
      <c r="D20" s="127"/>
      <c r="E20" s="127"/>
      <c r="F20" s="127"/>
      <c r="G20" s="127"/>
    </row>
    <row r="21" spans="1:9" ht="159.5" x14ac:dyDescent="0.35">
      <c r="A21" s="127" t="s">
        <v>2495</v>
      </c>
      <c r="B21" s="127"/>
      <c r="C21" s="127"/>
      <c r="D21" s="127"/>
      <c r="E21" s="127"/>
      <c r="F21" s="127"/>
      <c r="G21" s="127"/>
    </row>
    <row r="22" spans="1:9" ht="188.5" x14ac:dyDescent="0.35">
      <c r="A22" s="127" t="s">
        <v>2496</v>
      </c>
      <c r="B22" s="127"/>
      <c r="C22" s="127"/>
      <c r="D22" s="127"/>
      <c r="E22" s="127"/>
      <c r="F22" s="127"/>
      <c r="G22" s="127"/>
    </row>
    <row r="23" spans="1:9" ht="275.5" x14ac:dyDescent="0.35">
      <c r="A23" s="127" t="s">
        <v>2497</v>
      </c>
      <c r="B23" s="127"/>
      <c r="C23" s="127"/>
      <c r="D23" s="127"/>
      <c r="E23" s="127"/>
      <c r="F23" s="127"/>
      <c r="G23" s="127"/>
    </row>
    <row r="24" spans="1:9" ht="43.5" x14ac:dyDescent="0.35">
      <c r="A24" s="127" t="s">
        <v>2498</v>
      </c>
      <c r="B24" s="127"/>
      <c r="C24" s="127"/>
      <c r="D24" s="127"/>
      <c r="E24" s="127"/>
      <c r="F24" s="127"/>
      <c r="G24" s="127"/>
    </row>
    <row r="25" spans="1:9" ht="159.5" x14ac:dyDescent="0.35">
      <c r="A25" s="127" t="s">
        <v>2499</v>
      </c>
      <c r="B25" s="127"/>
      <c r="C25" s="127"/>
      <c r="D25" s="127"/>
      <c r="E25" s="127"/>
      <c r="F25" s="127"/>
      <c r="G25" s="127"/>
    </row>
    <row r="26" spans="1:9" ht="159.5" x14ac:dyDescent="0.35">
      <c r="A26" s="127" t="s">
        <v>2500</v>
      </c>
      <c r="B26" s="127"/>
      <c r="C26" s="127"/>
      <c r="D26" s="127"/>
      <c r="E26" s="127"/>
      <c r="F26" s="127"/>
      <c r="G26" s="127"/>
    </row>
    <row r="27" spans="1:9" ht="116" x14ac:dyDescent="0.35">
      <c r="A27" s="127" t="s">
        <v>2501</v>
      </c>
      <c r="B27" s="127"/>
      <c r="C27" s="127"/>
      <c r="D27" s="127"/>
      <c r="E27" s="127"/>
      <c r="F27" s="127"/>
      <c r="G27" s="127"/>
    </row>
    <row r="28" spans="1:9" ht="116" x14ac:dyDescent="0.35">
      <c r="A28" s="127" t="s">
        <v>2502</v>
      </c>
      <c r="B28" s="127"/>
      <c r="C28" s="127"/>
      <c r="D28" s="127"/>
      <c r="E28" s="127"/>
      <c r="F28" s="127"/>
      <c r="G28" s="127"/>
    </row>
    <row r="29" spans="1:9" ht="159.5" x14ac:dyDescent="0.35">
      <c r="A29" s="127" t="s">
        <v>2503</v>
      </c>
      <c r="B29" s="127"/>
      <c r="C29" s="127"/>
      <c r="D29" s="127"/>
      <c r="E29" s="127"/>
      <c r="F29" s="127"/>
      <c r="G29" s="127"/>
    </row>
    <row r="30" spans="1:9" ht="87" x14ac:dyDescent="0.35">
      <c r="A30" s="127" t="s">
        <v>2504</v>
      </c>
      <c r="B30" s="127"/>
      <c r="C30" s="127"/>
      <c r="D30" s="127"/>
      <c r="E30" s="127"/>
      <c r="F30" s="127"/>
      <c r="G30" s="127"/>
    </row>
    <row r="31" spans="1:9" ht="116" x14ac:dyDescent="0.35">
      <c r="A31" s="127" t="s">
        <v>2505</v>
      </c>
      <c r="B31" s="127"/>
      <c r="C31" s="127"/>
      <c r="D31" s="127"/>
      <c r="E31" s="127"/>
      <c r="F31" s="127"/>
      <c r="G31" s="127"/>
    </row>
    <row r="32" spans="1:9" ht="87" x14ac:dyDescent="0.35">
      <c r="A32" s="127" t="s">
        <v>2506</v>
      </c>
      <c r="B32" s="127"/>
      <c r="C32" s="127"/>
      <c r="D32" s="127"/>
      <c r="E32" s="127"/>
      <c r="F32" s="127"/>
      <c r="G32" s="127"/>
    </row>
    <row r="33" spans="1:7" ht="116" x14ac:dyDescent="0.35">
      <c r="A33" s="127" t="s">
        <v>2507</v>
      </c>
      <c r="B33" s="127"/>
      <c r="C33" s="127"/>
      <c r="D33" s="127"/>
      <c r="E33" s="127"/>
      <c r="F33" s="127"/>
      <c r="G33" s="127"/>
    </row>
    <row r="34" spans="1:7" ht="101.5" x14ac:dyDescent="0.35">
      <c r="A34" s="127" t="s">
        <v>2508</v>
      </c>
      <c r="B34" s="127"/>
      <c r="C34" s="127"/>
      <c r="D34" s="127"/>
      <c r="E34" s="127"/>
      <c r="F34" s="127"/>
      <c r="G34" s="127"/>
    </row>
    <row r="36" spans="1:7" ht="145" customHeight="1" x14ac:dyDescent="0.35">
      <c r="A36" s="253" t="s">
        <v>2509</v>
      </c>
      <c r="B36" s="253"/>
      <c r="C36" s="253"/>
      <c r="D36" s="253"/>
      <c r="E36" s="253"/>
      <c r="F36" s="253"/>
      <c r="G36" s="253"/>
    </row>
    <row r="37" spans="1:7" ht="72.5" x14ac:dyDescent="0.35">
      <c r="A37" s="127" t="s">
        <v>2510</v>
      </c>
      <c r="B37" s="127"/>
      <c r="C37" s="127"/>
      <c r="D37" s="127"/>
      <c r="E37" s="127"/>
      <c r="F37" s="127"/>
      <c r="G37" s="127"/>
    </row>
    <row r="38" spans="1:7" ht="275.5" x14ac:dyDescent="0.35">
      <c r="A38" s="127" t="s">
        <v>2511</v>
      </c>
      <c r="B38" s="127"/>
      <c r="C38" s="127"/>
      <c r="D38" s="127"/>
      <c r="E38" s="127"/>
      <c r="F38" s="127"/>
      <c r="G38" s="127"/>
    </row>
    <row r="39" spans="1:7" ht="409.5" x14ac:dyDescent="0.35">
      <c r="A39" s="127" t="s">
        <v>2512</v>
      </c>
      <c r="B39" s="127"/>
      <c r="C39" s="127"/>
      <c r="D39" s="127"/>
      <c r="E39" s="127"/>
      <c r="F39" s="127"/>
      <c r="G39" s="127"/>
    </row>
    <row r="40" spans="1:7" ht="246.5" x14ac:dyDescent="0.35">
      <c r="A40" s="127" t="s">
        <v>2513</v>
      </c>
      <c r="B40" s="127"/>
      <c r="C40" s="127"/>
      <c r="D40" s="127"/>
      <c r="E40" s="127"/>
      <c r="F40" s="127"/>
      <c r="G40" s="127"/>
    </row>
    <row r="41" spans="1:7" ht="174" x14ac:dyDescent="0.35">
      <c r="A41" s="127" t="s">
        <v>2514</v>
      </c>
      <c r="B41" s="127"/>
      <c r="C41" s="127"/>
      <c r="D41" s="127"/>
      <c r="E41" s="127"/>
      <c r="F41" s="127"/>
      <c r="G41" s="127"/>
    </row>
  </sheetData>
  <mergeCells count="5">
    <mergeCell ref="A1:G1"/>
    <mergeCell ref="A3:G3"/>
    <mergeCell ref="A12:G12"/>
    <mergeCell ref="A19:G19"/>
    <mergeCell ref="A36:G3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heetViews>
  <sheetFormatPr defaultRowHeight="14.5" x14ac:dyDescent="0.35"/>
  <cols>
    <col min="1" max="1" width="20" customWidth="1"/>
    <col min="2" max="2" width="42" customWidth="1"/>
    <col min="3" max="3" width="60" customWidth="1"/>
    <col min="4" max="6" width="18" customWidth="1"/>
  </cols>
  <sheetData>
    <row r="1" spans="1:6" ht="36" customHeight="1" x14ac:dyDescent="0.5">
      <c r="A1" s="257" t="s">
        <v>185</v>
      </c>
      <c r="B1" s="182"/>
      <c r="C1" s="182"/>
      <c r="D1" s="182"/>
      <c r="E1" s="182"/>
      <c r="F1" s="182"/>
    </row>
    <row r="3" spans="1:6" ht="22" customHeight="1" x14ac:dyDescent="0.35">
      <c r="A3" s="256" t="s">
        <v>186</v>
      </c>
      <c r="B3" s="182"/>
      <c r="C3" s="182"/>
      <c r="D3" s="182"/>
      <c r="E3" s="182"/>
      <c r="F3" s="182"/>
    </row>
    <row r="4" spans="1:6" ht="60" customHeight="1" x14ac:dyDescent="0.35">
      <c r="A4" s="255" t="s">
        <v>187</v>
      </c>
      <c r="B4" s="182"/>
      <c r="C4" s="182"/>
      <c r="D4" s="182"/>
      <c r="E4" s="182"/>
      <c r="F4" s="182"/>
    </row>
    <row r="6" spans="1:6" ht="22" customHeight="1" x14ac:dyDescent="0.35">
      <c r="A6" s="256" t="s">
        <v>188</v>
      </c>
      <c r="B6" s="182"/>
      <c r="C6" s="182"/>
      <c r="D6" s="182"/>
      <c r="E6" s="182"/>
      <c r="F6" s="182"/>
    </row>
    <row r="7" spans="1:6" ht="20" customHeight="1" x14ac:dyDescent="0.35">
      <c r="A7" s="1" t="s">
        <v>189</v>
      </c>
      <c r="B7" s="2" t="s">
        <v>190</v>
      </c>
      <c r="C7" s="3" t="s">
        <v>191</v>
      </c>
    </row>
    <row r="8" spans="1:6" ht="30" customHeight="1" x14ac:dyDescent="0.35">
      <c r="A8" s="4" t="s">
        <v>192</v>
      </c>
      <c r="B8" s="5" t="s">
        <v>193</v>
      </c>
      <c r="C8" s="6" t="s">
        <v>194</v>
      </c>
    </row>
    <row r="9" spans="1:6" ht="30" customHeight="1" x14ac:dyDescent="0.35">
      <c r="A9" s="7" t="s">
        <v>195</v>
      </c>
      <c r="B9" s="8" t="s">
        <v>196</v>
      </c>
      <c r="C9" s="9" t="s">
        <v>197</v>
      </c>
    </row>
    <row r="10" spans="1:6" ht="30" customHeight="1" x14ac:dyDescent="0.35">
      <c r="A10" s="4" t="s">
        <v>198</v>
      </c>
      <c r="B10" s="5" t="s">
        <v>199</v>
      </c>
      <c r="C10" s="6" t="s">
        <v>200</v>
      </c>
    </row>
    <row r="11" spans="1:6" ht="30" customHeight="1" x14ac:dyDescent="0.35">
      <c r="A11" s="7" t="s">
        <v>201</v>
      </c>
      <c r="B11" s="8" t="s">
        <v>202</v>
      </c>
      <c r="C11" s="9" t="s">
        <v>203</v>
      </c>
    </row>
    <row r="12" spans="1:6" ht="30" customHeight="1" x14ac:dyDescent="0.35">
      <c r="A12" s="4" t="s">
        <v>204</v>
      </c>
      <c r="B12" s="5" t="s">
        <v>205</v>
      </c>
      <c r="C12" s="6" t="s">
        <v>206</v>
      </c>
    </row>
    <row r="13" spans="1:6" x14ac:dyDescent="0.35">
      <c r="A13" s="10"/>
      <c r="B13" s="11"/>
      <c r="C13" s="12"/>
    </row>
    <row r="14" spans="1:6" ht="22" customHeight="1" x14ac:dyDescent="0.35">
      <c r="A14" s="256" t="s">
        <v>207</v>
      </c>
      <c r="B14" s="182"/>
      <c r="C14" s="182"/>
      <c r="D14" s="182"/>
      <c r="E14" s="182"/>
      <c r="F14" s="182"/>
    </row>
    <row r="15" spans="1:6" ht="20" customHeight="1" x14ac:dyDescent="0.35">
      <c r="A15" s="1" t="s">
        <v>1</v>
      </c>
      <c r="B15" s="2" t="s">
        <v>2</v>
      </c>
      <c r="C15" s="3" t="s">
        <v>208</v>
      </c>
    </row>
    <row r="16" spans="1:6" ht="28" customHeight="1" x14ac:dyDescent="0.4">
      <c r="A16" s="13" t="s">
        <v>209</v>
      </c>
      <c r="B16" s="5" t="s">
        <v>210</v>
      </c>
      <c r="C16" s="6" t="s">
        <v>211</v>
      </c>
    </row>
    <row r="17" spans="1:6" ht="28" customHeight="1" x14ac:dyDescent="0.4">
      <c r="A17" s="14" t="s">
        <v>212</v>
      </c>
      <c r="B17" s="8" t="s">
        <v>213</v>
      </c>
      <c r="C17" s="9" t="s">
        <v>214</v>
      </c>
    </row>
    <row r="18" spans="1:6" ht="28" customHeight="1" x14ac:dyDescent="0.4">
      <c r="A18" s="13" t="s">
        <v>215</v>
      </c>
      <c r="B18" s="5" t="s">
        <v>216</v>
      </c>
      <c r="C18" s="6" t="s">
        <v>217</v>
      </c>
    </row>
    <row r="19" spans="1:6" ht="28" customHeight="1" x14ac:dyDescent="0.4">
      <c r="A19" s="14" t="s">
        <v>218</v>
      </c>
      <c r="B19" s="8" t="s">
        <v>219</v>
      </c>
      <c r="C19" s="9" t="s">
        <v>220</v>
      </c>
    </row>
    <row r="20" spans="1:6" ht="28" customHeight="1" x14ac:dyDescent="0.4">
      <c r="A20" s="13" t="s">
        <v>221</v>
      </c>
      <c r="B20" s="5" t="s">
        <v>222</v>
      </c>
      <c r="C20" s="6" t="s">
        <v>223</v>
      </c>
    </row>
    <row r="21" spans="1:6" ht="28" customHeight="1" x14ac:dyDescent="0.4">
      <c r="A21" s="14" t="s">
        <v>224</v>
      </c>
      <c r="B21" s="8" t="s">
        <v>225</v>
      </c>
      <c r="C21" s="9" t="s">
        <v>226</v>
      </c>
    </row>
    <row r="22" spans="1:6" ht="28" customHeight="1" x14ac:dyDescent="0.4">
      <c r="A22" s="13" t="s">
        <v>227</v>
      </c>
      <c r="B22" s="5" t="s">
        <v>228</v>
      </c>
      <c r="C22" s="6" t="s">
        <v>229</v>
      </c>
    </row>
    <row r="23" spans="1:6" ht="28" customHeight="1" x14ac:dyDescent="0.4">
      <c r="A23" s="14" t="s">
        <v>230</v>
      </c>
      <c r="B23" s="8" t="s">
        <v>231</v>
      </c>
      <c r="C23" s="9" t="s">
        <v>232</v>
      </c>
    </row>
    <row r="24" spans="1:6" ht="28" customHeight="1" x14ac:dyDescent="0.4">
      <c r="A24" s="15" t="s">
        <v>233</v>
      </c>
      <c r="B24" s="16" t="s">
        <v>234</v>
      </c>
      <c r="C24" s="17" t="s">
        <v>235</v>
      </c>
    </row>
    <row r="25" spans="1:6" ht="22" customHeight="1" x14ac:dyDescent="0.35">
      <c r="A25" s="256" t="s">
        <v>236</v>
      </c>
      <c r="B25" s="182"/>
      <c r="C25" s="182"/>
      <c r="D25" s="182"/>
      <c r="E25" s="182"/>
      <c r="F25" s="182"/>
    </row>
    <row r="26" spans="1:6" ht="28" customHeight="1" x14ac:dyDescent="0.35">
      <c r="A26" s="259" t="s">
        <v>237</v>
      </c>
      <c r="B26" s="182"/>
      <c r="C26" s="182"/>
      <c r="D26" s="182"/>
      <c r="E26" s="182"/>
      <c r="F26" s="182"/>
    </row>
    <row r="27" spans="1:6" ht="28" customHeight="1" x14ac:dyDescent="0.35">
      <c r="A27" s="258" t="s">
        <v>238</v>
      </c>
      <c r="B27" s="182"/>
      <c r="C27" s="182"/>
      <c r="D27" s="182"/>
      <c r="E27" s="182"/>
      <c r="F27" s="182"/>
    </row>
    <row r="28" spans="1:6" ht="28" customHeight="1" x14ac:dyDescent="0.35">
      <c r="A28" s="255" t="s">
        <v>239</v>
      </c>
      <c r="B28" s="182"/>
      <c r="C28" s="182"/>
      <c r="D28" s="182"/>
      <c r="E28" s="182"/>
      <c r="F28" s="182"/>
    </row>
    <row r="29" spans="1:6" ht="28" customHeight="1" x14ac:dyDescent="0.35">
      <c r="A29" s="258" t="s">
        <v>240</v>
      </c>
      <c r="B29" s="182"/>
      <c r="C29" s="182"/>
      <c r="D29" s="182"/>
      <c r="E29" s="182"/>
      <c r="F29" s="182"/>
    </row>
    <row r="30" spans="1:6" ht="28" customHeight="1" x14ac:dyDescent="0.35">
      <c r="A30" s="255" t="s">
        <v>241</v>
      </c>
      <c r="B30" s="182"/>
      <c r="C30" s="182"/>
      <c r="D30" s="182"/>
      <c r="E30" s="182"/>
      <c r="F30" s="182"/>
    </row>
    <row r="32" spans="1:6" ht="22" customHeight="1" x14ac:dyDescent="0.35">
      <c r="A32" s="256" t="s">
        <v>242</v>
      </c>
      <c r="B32" s="182"/>
      <c r="C32" s="182"/>
      <c r="D32" s="182"/>
      <c r="E32" s="182"/>
      <c r="F32" s="182"/>
    </row>
    <row r="33" spans="1:6" ht="32" customHeight="1" x14ac:dyDescent="0.35">
      <c r="A33" s="255" t="s">
        <v>243</v>
      </c>
      <c r="B33" s="182"/>
      <c r="C33" s="182"/>
      <c r="D33" s="182"/>
      <c r="E33" s="182"/>
      <c r="F33" s="182"/>
    </row>
    <row r="34" spans="1:6" ht="28" customHeight="1" x14ac:dyDescent="0.35">
      <c r="A34" s="18" t="s">
        <v>244</v>
      </c>
      <c r="B34" s="19" t="s">
        <v>245</v>
      </c>
      <c r="C34" s="20" t="s">
        <v>246</v>
      </c>
      <c r="D34" s="21" t="s">
        <v>247</v>
      </c>
      <c r="E34" s="22" t="s">
        <v>248</v>
      </c>
    </row>
  </sheetData>
  <mergeCells count="13">
    <mergeCell ref="A33:F33"/>
    <mergeCell ref="A28:F28"/>
    <mergeCell ref="A14:F14"/>
    <mergeCell ref="A1:F1"/>
    <mergeCell ref="A32:F32"/>
    <mergeCell ref="A27:F27"/>
    <mergeCell ref="A26:F26"/>
    <mergeCell ref="A6:F6"/>
    <mergeCell ref="A4:F4"/>
    <mergeCell ref="A3:F3"/>
    <mergeCell ref="A30:F30"/>
    <mergeCell ref="A29:F29"/>
    <mergeCell ref="A25:F2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opLeftCell="A4" workbookViewId="0">
      <selection activeCell="C9" sqref="C9"/>
    </sheetView>
  </sheetViews>
  <sheetFormatPr defaultRowHeight="14.5" x14ac:dyDescent="0.35"/>
  <cols>
    <col min="1" max="1" width="12.7265625" customWidth="1"/>
    <col min="2" max="2" width="14.453125" customWidth="1"/>
    <col min="3" max="3" width="80" customWidth="1"/>
    <col min="4" max="4" width="30" customWidth="1"/>
  </cols>
  <sheetData>
    <row r="1" spans="1:4" ht="30" customHeight="1" x14ac:dyDescent="0.35">
      <c r="A1" s="260" t="s">
        <v>249</v>
      </c>
      <c r="B1" s="261"/>
      <c r="C1" s="261"/>
      <c r="D1" s="262"/>
    </row>
    <row r="2" spans="1:4" ht="50" customHeight="1" x14ac:dyDescent="0.35">
      <c r="A2" s="263" t="s">
        <v>250</v>
      </c>
      <c r="B2" s="182"/>
      <c r="C2" s="182"/>
      <c r="D2" s="264"/>
    </row>
    <row r="3" spans="1:4" ht="24" customHeight="1" x14ac:dyDescent="0.35">
      <c r="A3" s="23" t="s">
        <v>251</v>
      </c>
      <c r="B3" s="24" t="s">
        <v>252</v>
      </c>
      <c r="C3" s="24" t="s">
        <v>253</v>
      </c>
      <c r="D3" s="25" t="s">
        <v>3</v>
      </c>
    </row>
    <row r="4" spans="1:4" ht="80" customHeight="1" x14ac:dyDescent="0.35">
      <c r="A4" s="26" t="s">
        <v>254</v>
      </c>
      <c r="B4" s="27" t="s">
        <v>255</v>
      </c>
      <c r="C4" s="109" t="s">
        <v>1844</v>
      </c>
      <c r="D4" s="110" t="s">
        <v>1845</v>
      </c>
    </row>
    <row r="5" spans="1:4" ht="90" customHeight="1" x14ac:dyDescent="0.35">
      <c r="A5" s="29" t="s">
        <v>254</v>
      </c>
      <c r="B5" s="30" t="s">
        <v>256</v>
      </c>
      <c r="C5" s="111" t="s">
        <v>1846</v>
      </c>
      <c r="D5" s="112" t="s">
        <v>1847</v>
      </c>
    </row>
    <row r="6" spans="1:4" ht="90" customHeight="1" x14ac:dyDescent="0.35">
      <c r="A6" s="26" t="s">
        <v>254</v>
      </c>
      <c r="B6" s="27" t="s">
        <v>257</v>
      </c>
      <c r="C6" s="27" t="s">
        <v>1521</v>
      </c>
      <c r="D6" s="28" t="s">
        <v>258</v>
      </c>
    </row>
    <row r="7" spans="1:4" ht="70" customHeight="1" x14ac:dyDescent="0.35">
      <c r="A7" s="29" t="s">
        <v>254</v>
      </c>
      <c r="B7" s="30" t="s">
        <v>259</v>
      </c>
      <c r="C7" s="30" t="s">
        <v>1522</v>
      </c>
      <c r="D7" s="31" t="s">
        <v>260</v>
      </c>
    </row>
    <row r="8" spans="1:4" ht="10" customHeight="1" x14ac:dyDescent="0.35">
      <c r="A8" s="32"/>
      <c r="B8" s="33"/>
      <c r="C8" s="33"/>
      <c r="D8" s="34"/>
    </row>
    <row r="9" spans="1:4" ht="70" customHeight="1" x14ac:dyDescent="0.35">
      <c r="A9" s="35" t="s">
        <v>261</v>
      </c>
      <c r="B9" s="36" t="s">
        <v>262</v>
      </c>
      <c r="C9" s="113" t="s">
        <v>1848</v>
      </c>
      <c r="D9" s="114" t="s">
        <v>1849</v>
      </c>
    </row>
    <row r="10" spans="1:4" ht="70" customHeight="1" x14ac:dyDescent="0.35">
      <c r="A10" s="37" t="s">
        <v>263</v>
      </c>
      <c r="B10" s="38" t="s">
        <v>262</v>
      </c>
      <c r="C10" s="115" t="s">
        <v>1850</v>
      </c>
      <c r="D10" s="116" t="s">
        <v>1851</v>
      </c>
    </row>
    <row r="11" spans="1:4" ht="10" customHeight="1" x14ac:dyDescent="0.35">
      <c r="A11" s="32"/>
      <c r="B11" s="33"/>
      <c r="C11" s="33"/>
      <c r="D11" s="34"/>
    </row>
    <row r="12" spans="1:4" ht="60" customHeight="1" x14ac:dyDescent="0.35">
      <c r="A12" s="26" t="s">
        <v>254</v>
      </c>
      <c r="B12" s="27" t="s">
        <v>264</v>
      </c>
      <c r="C12" s="39" t="s">
        <v>265</v>
      </c>
      <c r="D12" s="28" t="s">
        <v>266</v>
      </c>
    </row>
    <row r="13" spans="1:4" ht="70" customHeight="1" x14ac:dyDescent="0.35">
      <c r="A13" s="40" t="s">
        <v>254</v>
      </c>
      <c r="B13" s="41" t="s">
        <v>267</v>
      </c>
      <c r="C13" s="41" t="s">
        <v>268</v>
      </c>
      <c r="D13" s="42" t="s">
        <v>269</v>
      </c>
    </row>
  </sheetData>
  <mergeCells count="2">
    <mergeCell ref="A1:D1"/>
    <mergeCell ref="A2:D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topLeftCell="A6" workbookViewId="0">
      <selection activeCell="C8" sqref="C8"/>
    </sheetView>
  </sheetViews>
  <sheetFormatPr defaultRowHeight="14.5" x14ac:dyDescent="0.35"/>
  <cols>
    <col min="1" max="1" width="8.54296875" customWidth="1"/>
    <col min="2" max="2" width="16.6328125" customWidth="1"/>
    <col min="3" max="3" width="80" customWidth="1"/>
    <col min="4" max="4" width="30" customWidth="1"/>
  </cols>
  <sheetData>
    <row r="1" spans="1:4" ht="30" customHeight="1" x14ac:dyDescent="0.35">
      <c r="A1" s="265" t="s">
        <v>270</v>
      </c>
      <c r="B1" s="182"/>
      <c r="C1" s="182"/>
      <c r="D1" s="182"/>
    </row>
    <row r="2" spans="1:4" ht="50" customHeight="1" x14ac:dyDescent="0.35">
      <c r="A2" s="266" t="s">
        <v>271</v>
      </c>
      <c r="B2" s="182"/>
      <c r="C2" s="182"/>
      <c r="D2" s="182"/>
    </row>
    <row r="3" spans="1:4" ht="24" customHeight="1" x14ac:dyDescent="0.35">
      <c r="A3" s="43" t="s">
        <v>251</v>
      </c>
      <c r="B3" s="44" t="s">
        <v>252</v>
      </c>
      <c r="C3" s="44" t="s">
        <v>253</v>
      </c>
      <c r="D3" s="45" t="s">
        <v>3</v>
      </c>
    </row>
    <row r="4" spans="1:4" ht="49" customHeight="1" x14ac:dyDescent="0.35">
      <c r="A4" s="26" t="s">
        <v>272</v>
      </c>
      <c r="B4" s="27" t="s">
        <v>255</v>
      </c>
      <c r="C4" s="97" t="s">
        <v>1523</v>
      </c>
      <c r="D4" s="28" t="s">
        <v>273</v>
      </c>
    </row>
    <row r="5" spans="1:4" ht="59" customHeight="1" x14ac:dyDescent="0.35">
      <c r="A5" s="29" t="s">
        <v>272</v>
      </c>
      <c r="B5" s="30" t="s">
        <v>256</v>
      </c>
      <c r="C5" s="30" t="s">
        <v>1524</v>
      </c>
      <c r="D5" s="31" t="s">
        <v>274</v>
      </c>
    </row>
    <row r="6" spans="1:4" ht="80" customHeight="1" x14ac:dyDescent="0.35">
      <c r="A6" s="26" t="s">
        <v>275</v>
      </c>
      <c r="B6" s="27" t="s">
        <v>262</v>
      </c>
      <c r="C6" s="97" t="s">
        <v>1525</v>
      </c>
      <c r="D6" s="28" t="s">
        <v>276</v>
      </c>
    </row>
    <row r="7" spans="1:4" ht="80" customHeight="1" x14ac:dyDescent="0.35">
      <c r="A7" s="29" t="s">
        <v>254</v>
      </c>
      <c r="B7" s="30" t="s">
        <v>257</v>
      </c>
      <c r="C7" s="30" t="s">
        <v>1526</v>
      </c>
      <c r="D7" s="31" t="s">
        <v>277</v>
      </c>
    </row>
    <row r="8" spans="1:4" ht="70" customHeight="1" x14ac:dyDescent="0.35">
      <c r="A8" s="26" t="s">
        <v>254</v>
      </c>
      <c r="B8" s="27" t="s">
        <v>259</v>
      </c>
      <c r="C8" s="27" t="s">
        <v>1527</v>
      </c>
      <c r="D8" s="28" t="s">
        <v>260</v>
      </c>
    </row>
    <row r="9" spans="1:4" ht="10" customHeight="1" x14ac:dyDescent="0.35">
      <c r="A9" s="46"/>
      <c r="B9" s="47"/>
      <c r="C9" s="47"/>
      <c r="D9" s="48"/>
    </row>
    <row r="10" spans="1:4" ht="60" customHeight="1" x14ac:dyDescent="0.35">
      <c r="A10" s="29" t="s">
        <v>254</v>
      </c>
      <c r="B10" s="30" t="s">
        <v>264</v>
      </c>
      <c r="C10" s="49" t="s">
        <v>278</v>
      </c>
      <c r="D10" s="31" t="s">
        <v>266</v>
      </c>
    </row>
    <row r="11" spans="1:4" ht="80" customHeight="1" x14ac:dyDescent="0.35">
      <c r="A11" s="50" t="s">
        <v>254</v>
      </c>
      <c r="B11" s="51" t="s">
        <v>267</v>
      </c>
      <c r="C11" s="51" t="s">
        <v>279</v>
      </c>
      <c r="D11" s="52" t="s">
        <v>269</v>
      </c>
    </row>
  </sheetData>
  <mergeCells count="2">
    <mergeCell ref="A1:D1"/>
    <mergeCell ref="A2:D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A4" workbookViewId="0">
      <selection activeCell="C9" sqref="C9"/>
    </sheetView>
  </sheetViews>
  <sheetFormatPr defaultRowHeight="14.5" x14ac:dyDescent="0.35"/>
  <cols>
    <col min="1" max="1" width="10.1796875" customWidth="1"/>
    <col min="2" max="2" width="19" customWidth="1"/>
    <col min="3" max="3" width="80" customWidth="1"/>
    <col min="4" max="4" width="30" customWidth="1"/>
  </cols>
  <sheetData>
    <row r="1" spans="1:4" ht="30" customHeight="1" x14ac:dyDescent="0.35">
      <c r="A1" s="260" t="s">
        <v>280</v>
      </c>
      <c r="B1" s="261"/>
      <c r="C1" s="261"/>
      <c r="D1" s="262"/>
    </row>
    <row r="2" spans="1:4" ht="55" customHeight="1" x14ac:dyDescent="0.35">
      <c r="A2" s="263" t="s">
        <v>281</v>
      </c>
      <c r="B2" s="182"/>
      <c r="C2" s="182"/>
      <c r="D2" s="264"/>
    </row>
    <row r="3" spans="1:4" ht="24" customHeight="1" x14ac:dyDescent="0.35">
      <c r="A3" s="24" t="s">
        <v>251</v>
      </c>
      <c r="B3" s="24" t="s">
        <v>252</v>
      </c>
      <c r="C3" s="24" t="s">
        <v>253</v>
      </c>
      <c r="D3" s="24" t="s">
        <v>3</v>
      </c>
    </row>
    <row r="4" spans="1:4" ht="70" customHeight="1" x14ac:dyDescent="0.35">
      <c r="A4" s="27" t="s">
        <v>282</v>
      </c>
      <c r="B4" s="27" t="s">
        <v>255</v>
      </c>
      <c r="C4" s="97" t="s">
        <v>1528</v>
      </c>
      <c r="D4" s="27" t="s">
        <v>283</v>
      </c>
    </row>
    <row r="5" spans="1:4" ht="80" customHeight="1" x14ac:dyDescent="0.35">
      <c r="A5" s="30" t="s">
        <v>282</v>
      </c>
      <c r="B5" s="30" t="s">
        <v>256</v>
      </c>
      <c r="C5" s="98" t="s">
        <v>1529</v>
      </c>
      <c r="D5" s="30" t="s">
        <v>284</v>
      </c>
    </row>
    <row r="6" spans="1:4" ht="80" customHeight="1" x14ac:dyDescent="0.35">
      <c r="A6" s="27" t="s">
        <v>282</v>
      </c>
      <c r="B6" s="27" t="s">
        <v>257</v>
      </c>
      <c r="C6" s="27" t="s">
        <v>1530</v>
      </c>
      <c r="D6" s="27" t="s">
        <v>285</v>
      </c>
    </row>
    <row r="7" spans="1:4" ht="70" customHeight="1" x14ac:dyDescent="0.35">
      <c r="A7" s="30" t="s">
        <v>286</v>
      </c>
      <c r="B7" s="30" t="s">
        <v>255</v>
      </c>
      <c r="C7" s="98" t="s">
        <v>1531</v>
      </c>
      <c r="D7" s="30" t="s">
        <v>287</v>
      </c>
    </row>
    <row r="8" spans="1:4" ht="80" customHeight="1" x14ac:dyDescent="0.35">
      <c r="A8" s="27" t="s">
        <v>286</v>
      </c>
      <c r="B8" s="27" t="s">
        <v>256</v>
      </c>
      <c r="C8" s="97" t="s">
        <v>1532</v>
      </c>
      <c r="D8" s="27" t="s">
        <v>288</v>
      </c>
    </row>
    <row r="9" spans="1:4" ht="70" customHeight="1" x14ac:dyDescent="0.35">
      <c r="A9" s="30" t="s">
        <v>286</v>
      </c>
      <c r="B9" s="30" t="s">
        <v>257</v>
      </c>
      <c r="C9" s="30" t="s">
        <v>1839</v>
      </c>
      <c r="D9" s="30" t="s">
        <v>289</v>
      </c>
    </row>
    <row r="10" spans="1:4" ht="70" customHeight="1" x14ac:dyDescent="0.35">
      <c r="A10" s="27" t="s">
        <v>290</v>
      </c>
      <c r="B10" s="27" t="s">
        <v>255</v>
      </c>
      <c r="C10" s="97" t="s">
        <v>1520</v>
      </c>
      <c r="D10" s="27" t="s">
        <v>291</v>
      </c>
    </row>
    <row r="11" spans="1:4" ht="80" customHeight="1" x14ac:dyDescent="0.35">
      <c r="A11" s="30" t="s">
        <v>290</v>
      </c>
      <c r="B11" s="30" t="s">
        <v>256</v>
      </c>
      <c r="C11" s="98" t="s">
        <v>1533</v>
      </c>
      <c r="D11" s="30" t="s">
        <v>292</v>
      </c>
    </row>
    <row r="12" spans="1:4" ht="70" customHeight="1" x14ac:dyDescent="0.35">
      <c r="A12" s="27" t="s">
        <v>290</v>
      </c>
      <c r="B12" s="27" t="s">
        <v>257</v>
      </c>
      <c r="C12" s="27" t="s">
        <v>1534</v>
      </c>
      <c r="D12" s="27" t="s">
        <v>293</v>
      </c>
    </row>
    <row r="13" spans="1:4" ht="70" customHeight="1" x14ac:dyDescent="0.35">
      <c r="A13" s="30" t="s">
        <v>254</v>
      </c>
      <c r="B13" s="30" t="s">
        <v>259</v>
      </c>
      <c r="C13" s="30" t="s">
        <v>1535</v>
      </c>
      <c r="D13" s="30" t="s">
        <v>294</v>
      </c>
    </row>
    <row r="14" spans="1:4" ht="10" customHeight="1" x14ac:dyDescent="0.35">
      <c r="A14" s="47"/>
      <c r="B14" s="47"/>
      <c r="C14" s="47"/>
      <c r="D14" s="47"/>
    </row>
    <row r="15" spans="1:4" ht="60" customHeight="1" x14ac:dyDescent="0.35">
      <c r="A15" s="39" t="s">
        <v>254</v>
      </c>
      <c r="B15" s="39" t="s">
        <v>264</v>
      </c>
      <c r="C15" s="39" t="s">
        <v>295</v>
      </c>
      <c r="D15" s="39" t="s">
        <v>266</v>
      </c>
    </row>
    <row r="16" spans="1:4" ht="80" customHeight="1" x14ac:dyDescent="0.35">
      <c r="A16" s="38" t="s">
        <v>254</v>
      </c>
      <c r="B16" s="38" t="s">
        <v>267</v>
      </c>
      <c r="C16" s="38" t="s">
        <v>296</v>
      </c>
      <c r="D16" s="38" t="s">
        <v>269</v>
      </c>
    </row>
  </sheetData>
  <mergeCells count="2">
    <mergeCell ref="A1:D1"/>
    <mergeCell ref="A2:D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opLeftCell="A4" workbookViewId="0">
      <selection activeCell="C8" sqref="C8"/>
    </sheetView>
  </sheetViews>
  <sheetFormatPr defaultRowHeight="14.5" x14ac:dyDescent="0.35"/>
  <cols>
    <col min="1" max="1" width="13.36328125" customWidth="1"/>
    <col min="2" max="2" width="22.36328125" customWidth="1"/>
    <col min="3" max="3" width="80" customWidth="1"/>
    <col min="4" max="4" width="30" customWidth="1"/>
  </cols>
  <sheetData>
    <row r="1" spans="1:4" ht="30" customHeight="1" x14ac:dyDescent="0.35">
      <c r="A1" s="260" t="s">
        <v>297</v>
      </c>
      <c r="B1" s="261"/>
      <c r="C1" s="261"/>
      <c r="D1" s="262"/>
    </row>
    <row r="2" spans="1:4" ht="50" customHeight="1" x14ac:dyDescent="0.35">
      <c r="A2" s="267" t="s">
        <v>298</v>
      </c>
      <c r="B2" s="268"/>
      <c r="C2" s="268"/>
      <c r="D2" s="269"/>
    </row>
    <row r="3" spans="1:4" ht="24" customHeight="1" x14ac:dyDescent="0.35">
      <c r="A3" s="43" t="s">
        <v>251</v>
      </c>
      <c r="B3" s="44" t="s">
        <v>252</v>
      </c>
      <c r="C3" s="44" t="s">
        <v>253</v>
      </c>
      <c r="D3" s="45" t="s">
        <v>3</v>
      </c>
    </row>
    <row r="4" spans="1:4" ht="80" customHeight="1" x14ac:dyDescent="0.35">
      <c r="A4" s="26" t="s">
        <v>299</v>
      </c>
      <c r="B4" s="27" t="s">
        <v>255</v>
      </c>
      <c r="C4" s="27" t="s">
        <v>1536</v>
      </c>
      <c r="D4" s="28" t="s">
        <v>300</v>
      </c>
    </row>
    <row r="5" spans="1:4" ht="70" customHeight="1" x14ac:dyDescent="0.35">
      <c r="A5" s="29" t="s">
        <v>301</v>
      </c>
      <c r="B5" s="30" t="s">
        <v>262</v>
      </c>
      <c r="C5" s="98" t="s">
        <v>1537</v>
      </c>
      <c r="D5" s="31" t="s">
        <v>302</v>
      </c>
    </row>
    <row r="6" spans="1:4" ht="80" customHeight="1" x14ac:dyDescent="0.35">
      <c r="A6" s="26" t="s">
        <v>254</v>
      </c>
      <c r="B6" s="27" t="s">
        <v>256</v>
      </c>
      <c r="C6" s="27" t="s">
        <v>1538</v>
      </c>
      <c r="D6" s="28" t="s">
        <v>303</v>
      </c>
    </row>
    <row r="7" spans="1:4" ht="80" customHeight="1" x14ac:dyDescent="0.35">
      <c r="A7" s="29" t="s">
        <v>254</v>
      </c>
      <c r="B7" s="30" t="s">
        <v>257</v>
      </c>
      <c r="C7" s="30" t="s">
        <v>1539</v>
      </c>
      <c r="D7" s="31" t="s">
        <v>277</v>
      </c>
    </row>
    <row r="8" spans="1:4" ht="80" customHeight="1" x14ac:dyDescent="0.35">
      <c r="A8" s="26" t="s">
        <v>254</v>
      </c>
      <c r="B8" s="27" t="s">
        <v>259</v>
      </c>
      <c r="C8" s="27" t="s">
        <v>1540</v>
      </c>
      <c r="D8" s="28" t="s">
        <v>260</v>
      </c>
    </row>
    <row r="9" spans="1:4" ht="10" customHeight="1" x14ac:dyDescent="0.35">
      <c r="A9" s="46"/>
      <c r="B9" s="47"/>
      <c r="C9" s="47"/>
      <c r="D9" s="48"/>
    </row>
    <row r="10" spans="1:4" ht="50" customHeight="1" x14ac:dyDescent="0.35">
      <c r="A10" s="53" t="s">
        <v>254</v>
      </c>
      <c r="B10" s="49" t="s">
        <v>264</v>
      </c>
      <c r="C10" s="49" t="s">
        <v>304</v>
      </c>
      <c r="D10" s="54" t="s">
        <v>266</v>
      </c>
    </row>
    <row r="11" spans="1:4" ht="80" customHeight="1" x14ac:dyDescent="0.35">
      <c r="A11" s="50" t="s">
        <v>254</v>
      </c>
      <c r="B11" s="51" t="s">
        <v>267</v>
      </c>
      <c r="C11" s="51" t="s">
        <v>305</v>
      </c>
      <c r="D11" s="52" t="s">
        <v>269</v>
      </c>
    </row>
  </sheetData>
  <mergeCells count="2">
    <mergeCell ref="A1:D1"/>
    <mergeCell ref="A2:D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C8" sqref="C8"/>
    </sheetView>
  </sheetViews>
  <sheetFormatPr defaultRowHeight="14.5" x14ac:dyDescent="0.35"/>
  <cols>
    <col min="1" max="1" width="12.1796875" customWidth="1"/>
    <col min="2" max="2" width="23" customWidth="1"/>
    <col min="3" max="3" width="80" customWidth="1"/>
    <col min="4" max="4" width="30" customWidth="1"/>
  </cols>
  <sheetData>
    <row r="1" spans="1:4" ht="30" customHeight="1" x14ac:dyDescent="0.35">
      <c r="A1" s="270" t="s">
        <v>306</v>
      </c>
      <c r="B1" s="271"/>
      <c r="C1" s="271"/>
      <c r="D1" s="272"/>
    </row>
    <row r="2" spans="1:4" ht="50" customHeight="1" x14ac:dyDescent="0.35">
      <c r="A2" s="273" t="s">
        <v>307</v>
      </c>
      <c r="B2" s="271"/>
      <c r="C2" s="271"/>
      <c r="D2" s="272"/>
    </row>
    <row r="3" spans="1:4" ht="24" customHeight="1" x14ac:dyDescent="0.35">
      <c r="A3" s="24" t="s">
        <v>251</v>
      </c>
      <c r="B3" s="24" t="s">
        <v>252</v>
      </c>
      <c r="C3" s="24" t="s">
        <v>253</v>
      </c>
      <c r="D3" s="24" t="s">
        <v>3</v>
      </c>
    </row>
    <row r="4" spans="1:4" ht="70" customHeight="1" x14ac:dyDescent="0.35">
      <c r="A4" s="27" t="s">
        <v>308</v>
      </c>
      <c r="B4" s="27" t="s">
        <v>309</v>
      </c>
      <c r="C4" s="97" t="s">
        <v>1542</v>
      </c>
      <c r="D4" s="27" t="s">
        <v>310</v>
      </c>
    </row>
    <row r="5" spans="1:4" ht="70" customHeight="1" x14ac:dyDescent="0.35">
      <c r="A5" s="30" t="s">
        <v>311</v>
      </c>
      <c r="B5" s="30" t="s">
        <v>312</v>
      </c>
      <c r="C5" s="98" t="s">
        <v>1541</v>
      </c>
      <c r="D5" s="30" t="s">
        <v>313</v>
      </c>
    </row>
    <row r="6" spans="1:4" ht="80" customHeight="1" x14ac:dyDescent="0.35">
      <c r="A6" s="27" t="s">
        <v>254</v>
      </c>
      <c r="B6" s="27" t="s">
        <v>314</v>
      </c>
      <c r="C6" s="27" t="s">
        <v>1543</v>
      </c>
      <c r="D6" s="27" t="s">
        <v>315</v>
      </c>
    </row>
    <row r="7" spans="1:4" ht="80" customHeight="1" x14ac:dyDescent="0.35">
      <c r="A7" s="30" t="s">
        <v>254</v>
      </c>
      <c r="B7" s="30" t="s">
        <v>257</v>
      </c>
      <c r="C7" s="30" t="s">
        <v>1544</v>
      </c>
      <c r="D7" s="30" t="s">
        <v>277</v>
      </c>
    </row>
    <row r="8" spans="1:4" ht="80" customHeight="1" x14ac:dyDescent="0.35">
      <c r="A8" s="27" t="s">
        <v>254</v>
      </c>
      <c r="B8" s="27" t="s">
        <v>259</v>
      </c>
      <c r="C8" s="27" t="s">
        <v>1545</v>
      </c>
      <c r="D8" s="27" t="s">
        <v>260</v>
      </c>
    </row>
    <row r="9" spans="1:4" ht="10" customHeight="1" x14ac:dyDescent="0.35">
      <c r="A9" s="47"/>
      <c r="B9" s="47"/>
      <c r="C9" s="47"/>
      <c r="D9" s="47"/>
    </row>
    <row r="10" spans="1:4" ht="55" customHeight="1" x14ac:dyDescent="0.35">
      <c r="A10" s="30" t="s">
        <v>254</v>
      </c>
      <c r="B10" s="30" t="s">
        <v>264</v>
      </c>
      <c r="C10" s="49" t="s">
        <v>316</v>
      </c>
      <c r="D10" s="30" t="s">
        <v>317</v>
      </c>
    </row>
    <row r="11" spans="1:4" ht="80" customHeight="1" x14ac:dyDescent="0.35">
      <c r="A11" s="36" t="s">
        <v>254</v>
      </c>
      <c r="B11" s="36" t="s">
        <v>267</v>
      </c>
      <c r="C11" s="36" t="s">
        <v>318</v>
      </c>
      <c r="D11" s="36" t="s">
        <v>269</v>
      </c>
    </row>
  </sheetData>
  <mergeCells count="2">
    <mergeCell ref="A1:D1"/>
    <mergeCell ref="A2:D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workbookViewId="0">
      <selection activeCell="A4" sqref="A4:E7"/>
    </sheetView>
  </sheetViews>
  <sheetFormatPr defaultRowHeight="14.5" x14ac:dyDescent="0.35"/>
  <cols>
    <col min="1" max="1" width="8.81640625" customWidth="1"/>
    <col min="2" max="2" width="9.1796875" customWidth="1"/>
    <col min="3" max="3" width="14.6328125" customWidth="1"/>
    <col min="4" max="4" width="10.90625" customWidth="1"/>
    <col min="5" max="6" width="68" customWidth="1"/>
    <col min="7" max="7" width="58" customWidth="1"/>
  </cols>
  <sheetData>
    <row r="1" spans="1:7" ht="30" customHeight="1" x14ac:dyDescent="0.35">
      <c r="A1" s="275" t="s">
        <v>319</v>
      </c>
      <c r="B1" s="182"/>
      <c r="C1" s="182"/>
      <c r="D1" s="182"/>
      <c r="E1" s="182"/>
      <c r="F1" s="182"/>
      <c r="G1" s="182"/>
    </row>
    <row r="2" spans="1:7" ht="50" customHeight="1" x14ac:dyDescent="0.35">
      <c r="A2" s="274" t="s">
        <v>320</v>
      </c>
      <c r="B2" s="182"/>
      <c r="C2" s="182"/>
      <c r="D2" s="182"/>
      <c r="E2" s="182"/>
      <c r="F2" s="182"/>
      <c r="G2" s="182"/>
    </row>
    <row r="3" spans="1:7" ht="24" customHeight="1" x14ac:dyDescent="0.35">
      <c r="A3" s="24" t="s">
        <v>321</v>
      </c>
      <c r="B3" s="24" t="s">
        <v>21</v>
      </c>
      <c r="C3" s="24" t="s">
        <v>322</v>
      </c>
      <c r="D3" s="24" t="s">
        <v>323</v>
      </c>
      <c r="E3" s="24" t="s">
        <v>324</v>
      </c>
      <c r="F3" s="24" t="s">
        <v>325</v>
      </c>
      <c r="G3" s="24" t="s">
        <v>326</v>
      </c>
    </row>
    <row r="4" spans="1:7" ht="90" customHeight="1" x14ac:dyDescent="0.35">
      <c r="A4" s="55" t="s">
        <v>327</v>
      </c>
      <c r="B4" s="55" t="s">
        <v>328</v>
      </c>
      <c r="C4" s="55" t="s">
        <v>329</v>
      </c>
      <c r="D4" s="55" t="s">
        <v>204</v>
      </c>
      <c r="E4" s="55" t="s">
        <v>1546</v>
      </c>
      <c r="F4" s="55" t="s">
        <v>1547</v>
      </c>
      <c r="G4" s="55" t="s">
        <v>1548</v>
      </c>
    </row>
    <row r="5" spans="1:7" ht="90" customHeight="1" x14ac:dyDescent="0.35">
      <c r="A5" s="56" t="s">
        <v>330</v>
      </c>
      <c r="B5" s="56" t="s">
        <v>331</v>
      </c>
      <c r="C5" s="56" t="s">
        <v>332</v>
      </c>
      <c r="D5" s="56" t="s">
        <v>204</v>
      </c>
      <c r="E5" s="56" t="s">
        <v>1549</v>
      </c>
      <c r="F5" s="56" t="s">
        <v>1550</v>
      </c>
      <c r="G5" s="56" t="s">
        <v>1551</v>
      </c>
    </row>
    <row r="6" spans="1:7" ht="90" customHeight="1" x14ac:dyDescent="0.35">
      <c r="A6" s="55" t="s">
        <v>333</v>
      </c>
      <c r="B6" s="55" t="s">
        <v>331</v>
      </c>
      <c r="C6" s="55" t="s">
        <v>334</v>
      </c>
      <c r="D6" s="55" t="s">
        <v>201</v>
      </c>
      <c r="E6" s="55" t="s">
        <v>1552</v>
      </c>
      <c r="F6" s="55" t="s">
        <v>1553</v>
      </c>
      <c r="G6" s="55" t="s">
        <v>1554</v>
      </c>
    </row>
    <row r="7" spans="1:7" ht="90" customHeight="1" x14ac:dyDescent="0.35">
      <c r="A7" s="56" t="s">
        <v>335</v>
      </c>
      <c r="B7" s="56" t="s">
        <v>331</v>
      </c>
      <c r="C7" s="56" t="s">
        <v>336</v>
      </c>
      <c r="D7" s="56" t="s">
        <v>198</v>
      </c>
      <c r="E7" s="56" t="s">
        <v>1555</v>
      </c>
      <c r="F7" s="56" t="s">
        <v>1556</v>
      </c>
      <c r="G7" s="56" t="s">
        <v>1557</v>
      </c>
    </row>
    <row r="8" spans="1:7" ht="90" customHeight="1" x14ac:dyDescent="0.35">
      <c r="A8" s="55" t="s">
        <v>337</v>
      </c>
      <c r="B8" s="55" t="s">
        <v>331</v>
      </c>
      <c r="C8" s="55" t="s">
        <v>338</v>
      </c>
      <c r="D8" s="55" t="s">
        <v>195</v>
      </c>
      <c r="E8" s="55" t="s">
        <v>1558</v>
      </c>
      <c r="F8" s="55" t="s">
        <v>1559</v>
      </c>
      <c r="G8" s="55" t="s">
        <v>1560</v>
      </c>
    </row>
    <row r="9" spans="1:7" ht="90" customHeight="1" x14ac:dyDescent="0.35">
      <c r="A9" s="56" t="s">
        <v>339</v>
      </c>
      <c r="B9" s="56" t="s">
        <v>331</v>
      </c>
      <c r="C9" s="56" t="s">
        <v>340</v>
      </c>
      <c r="D9" s="56" t="s">
        <v>192</v>
      </c>
      <c r="E9" s="56" t="s">
        <v>1561</v>
      </c>
      <c r="F9" s="56" t="s">
        <v>1562</v>
      </c>
      <c r="G9" s="56" t="s">
        <v>1563</v>
      </c>
    </row>
    <row r="10" spans="1:7" ht="90" customHeight="1" x14ac:dyDescent="0.35">
      <c r="A10" s="55" t="s">
        <v>341</v>
      </c>
      <c r="B10" s="55" t="s">
        <v>331</v>
      </c>
      <c r="C10" s="55" t="s">
        <v>342</v>
      </c>
      <c r="D10" s="55" t="s">
        <v>204</v>
      </c>
      <c r="E10" s="55" t="s">
        <v>1564</v>
      </c>
      <c r="F10" s="55" t="s">
        <v>1565</v>
      </c>
      <c r="G10" s="55" t="s">
        <v>1566</v>
      </c>
    </row>
    <row r="11" spans="1:7" ht="90" customHeight="1" x14ac:dyDescent="0.35">
      <c r="A11" s="56" t="s">
        <v>343</v>
      </c>
      <c r="B11" s="56" t="s">
        <v>344</v>
      </c>
      <c r="C11" s="56" t="s">
        <v>345</v>
      </c>
      <c r="D11" s="56" t="s">
        <v>204</v>
      </c>
      <c r="E11" s="56" t="s">
        <v>1567</v>
      </c>
      <c r="F11" s="56" t="s">
        <v>1568</v>
      </c>
      <c r="G11" s="56" t="s">
        <v>1569</v>
      </c>
    </row>
    <row r="12" spans="1:7" ht="90" customHeight="1" x14ac:dyDescent="0.35">
      <c r="A12" s="55" t="s">
        <v>346</v>
      </c>
      <c r="B12" s="55" t="s">
        <v>344</v>
      </c>
      <c r="C12" s="55" t="s">
        <v>347</v>
      </c>
      <c r="D12" s="55" t="s">
        <v>201</v>
      </c>
      <c r="E12" s="55" t="s">
        <v>1570</v>
      </c>
      <c r="F12" s="55" t="s">
        <v>1571</v>
      </c>
      <c r="G12" s="55" t="s">
        <v>1572</v>
      </c>
    </row>
    <row r="13" spans="1:7" ht="90" customHeight="1" x14ac:dyDescent="0.35">
      <c r="A13" s="56" t="s">
        <v>348</v>
      </c>
      <c r="B13" s="56" t="s">
        <v>344</v>
      </c>
      <c r="C13" s="56" t="s">
        <v>349</v>
      </c>
      <c r="D13" s="56" t="s">
        <v>198</v>
      </c>
      <c r="E13" s="56" t="s">
        <v>1573</v>
      </c>
      <c r="F13" s="56" t="s">
        <v>1574</v>
      </c>
      <c r="G13" s="56" t="s">
        <v>1575</v>
      </c>
    </row>
    <row r="14" spans="1:7" ht="90" customHeight="1" x14ac:dyDescent="0.35">
      <c r="A14" s="55" t="s">
        <v>350</v>
      </c>
      <c r="B14" s="55" t="s">
        <v>344</v>
      </c>
      <c r="C14" s="55" t="s">
        <v>351</v>
      </c>
      <c r="D14" s="55" t="s">
        <v>204</v>
      </c>
      <c r="E14" s="55" t="s">
        <v>1576</v>
      </c>
      <c r="F14" s="55" t="s">
        <v>1577</v>
      </c>
      <c r="G14" s="55" t="s">
        <v>1578</v>
      </c>
    </row>
    <row r="15" spans="1:7" ht="90" customHeight="1" x14ac:dyDescent="0.35">
      <c r="A15" s="56" t="s">
        <v>352</v>
      </c>
      <c r="B15" s="56" t="s">
        <v>353</v>
      </c>
      <c r="C15" s="56" t="s">
        <v>354</v>
      </c>
      <c r="D15" s="56" t="s">
        <v>204</v>
      </c>
      <c r="E15" s="56" t="s">
        <v>1579</v>
      </c>
      <c r="F15" s="56" t="s">
        <v>1580</v>
      </c>
      <c r="G15" s="56" t="s">
        <v>1581</v>
      </c>
    </row>
    <row r="16" spans="1:7" ht="90" customHeight="1" x14ac:dyDescent="0.35">
      <c r="A16" s="55" t="s">
        <v>355</v>
      </c>
      <c r="B16" s="55" t="s">
        <v>353</v>
      </c>
      <c r="C16" s="55" t="s">
        <v>356</v>
      </c>
      <c r="D16" s="55" t="s">
        <v>201</v>
      </c>
      <c r="E16" s="55" t="s">
        <v>1582</v>
      </c>
      <c r="F16" s="55" t="s">
        <v>1583</v>
      </c>
      <c r="G16" s="55" t="s">
        <v>1584</v>
      </c>
    </row>
    <row r="17" spans="1:7" ht="90" customHeight="1" x14ac:dyDescent="0.35">
      <c r="A17" s="56" t="s">
        <v>357</v>
      </c>
      <c r="B17" s="56" t="s">
        <v>353</v>
      </c>
      <c r="C17" s="56" t="s">
        <v>358</v>
      </c>
      <c r="D17" s="56" t="s">
        <v>198</v>
      </c>
      <c r="E17" s="56" t="s">
        <v>1585</v>
      </c>
      <c r="F17" s="56" t="s">
        <v>1586</v>
      </c>
      <c r="G17" s="56" t="s">
        <v>1587</v>
      </c>
    </row>
    <row r="18" spans="1:7" ht="90" customHeight="1" x14ac:dyDescent="0.35">
      <c r="A18" s="55" t="s">
        <v>359</v>
      </c>
      <c r="B18" s="55" t="s">
        <v>353</v>
      </c>
      <c r="C18" s="55" t="s">
        <v>360</v>
      </c>
      <c r="D18" s="55" t="s">
        <v>204</v>
      </c>
      <c r="E18" s="55" t="s">
        <v>1588</v>
      </c>
      <c r="F18" s="55" t="s">
        <v>1589</v>
      </c>
      <c r="G18" s="55" t="s">
        <v>1590</v>
      </c>
    </row>
    <row r="19" spans="1:7" ht="90" customHeight="1" x14ac:dyDescent="0.35">
      <c r="A19" s="56" t="s">
        <v>361</v>
      </c>
      <c r="B19" s="56" t="s">
        <v>362</v>
      </c>
      <c r="C19" s="56" t="s">
        <v>363</v>
      </c>
      <c r="D19" s="56" t="s">
        <v>364</v>
      </c>
      <c r="E19" s="56" t="s">
        <v>1591</v>
      </c>
      <c r="F19" s="56" t="s">
        <v>1592</v>
      </c>
      <c r="G19" s="56" t="s">
        <v>1593</v>
      </c>
    </row>
    <row r="20" spans="1:7" ht="90" customHeight="1" x14ac:dyDescent="0.35">
      <c r="A20" s="55" t="s">
        <v>365</v>
      </c>
      <c r="B20" s="55" t="s">
        <v>362</v>
      </c>
      <c r="C20" s="55" t="s">
        <v>349</v>
      </c>
      <c r="D20" s="55" t="s">
        <v>198</v>
      </c>
      <c r="E20" s="55" t="s">
        <v>1594</v>
      </c>
      <c r="F20" s="55" t="s">
        <v>1595</v>
      </c>
      <c r="G20" s="55" t="s">
        <v>1596</v>
      </c>
    </row>
    <row r="21" spans="1:7" ht="90" customHeight="1" x14ac:dyDescent="0.35">
      <c r="A21" s="56" t="s">
        <v>366</v>
      </c>
      <c r="B21" s="56" t="s">
        <v>362</v>
      </c>
      <c r="C21" s="56" t="s">
        <v>351</v>
      </c>
      <c r="D21" s="56" t="s">
        <v>204</v>
      </c>
      <c r="E21" s="56" t="s">
        <v>1597</v>
      </c>
      <c r="F21" s="56" t="s">
        <v>1598</v>
      </c>
      <c r="G21" s="56" t="s">
        <v>1599</v>
      </c>
    </row>
    <row r="22" spans="1:7" ht="90" customHeight="1" x14ac:dyDescent="0.35">
      <c r="A22" s="55" t="s">
        <v>367</v>
      </c>
      <c r="B22" s="55" t="s">
        <v>368</v>
      </c>
      <c r="C22" s="55" t="s">
        <v>369</v>
      </c>
      <c r="D22" s="55" t="s">
        <v>370</v>
      </c>
      <c r="E22" s="55" t="s">
        <v>1600</v>
      </c>
      <c r="F22" s="55" t="s">
        <v>1601</v>
      </c>
      <c r="G22" s="55" t="s">
        <v>1602</v>
      </c>
    </row>
    <row r="23" spans="1:7" ht="90" customHeight="1" x14ac:dyDescent="0.35">
      <c r="A23" s="56" t="s">
        <v>371</v>
      </c>
      <c r="B23" s="56" t="s">
        <v>368</v>
      </c>
      <c r="C23" s="56" t="s">
        <v>372</v>
      </c>
      <c r="D23" s="56" t="s">
        <v>204</v>
      </c>
      <c r="E23" s="56" t="s">
        <v>1603</v>
      </c>
      <c r="F23" s="56" t="s">
        <v>1604</v>
      </c>
      <c r="G23" s="56" t="s">
        <v>1605</v>
      </c>
    </row>
    <row r="24" spans="1:7" ht="10" customHeight="1" x14ac:dyDescent="0.35"/>
    <row r="25" spans="1:7" x14ac:dyDescent="0.35">
      <c r="A25" s="274" t="s">
        <v>373</v>
      </c>
      <c r="B25" s="182"/>
      <c r="C25" s="182"/>
      <c r="D25" s="182"/>
      <c r="E25" s="182"/>
      <c r="F25" s="182"/>
      <c r="G25" s="182"/>
    </row>
  </sheetData>
  <mergeCells count="3">
    <mergeCell ref="A2:G2"/>
    <mergeCell ref="A1:G1"/>
    <mergeCell ref="A25:G25"/>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
  <sheetViews>
    <sheetView topLeftCell="A6" workbookViewId="0">
      <selection activeCell="F10" sqref="F10"/>
    </sheetView>
  </sheetViews>
  <sheetFormatPr defaultRowHeight="14.5" x14ac:dyDescent="0.35"/>
  <cols>
    <col min="1" max="1" width="7.54296875" customWidth="1"/>
    <col min="2" max="2" width="11.453125" customWidth="1"/>
    <col min="3" max="3" width="11.36328125" customWidth="1"/>
    <col min="4" max="4" width="10.08984375" customWidth="1"/>
    <col min="5" max="6" width="70" customWidth="1"/>
    <col min="7" max="7" width="60" customWidth="1"/>
  </cols>
  <sheetData>
    <row r="1" spans="1:7" ht="18.5" customHeight="1" x14ac:dyDescent="0.35">
      <c r="A1" s="278" t="s">
        <v>442</v>
      </c>
      <c r="B1" s="223"/>
      <c r="C1" s="223"/>
      <c r="D1" s="223"/>
      <c r="E1" s="223"/>
      <c r="F1" s="223"/>
      <c r="G1" s="224"/>
    </row>
    <row r="2" spans="1:7" ht="36" customHeight="1" x14ac:dyDescent="0.35">
      <c r="A2" s="277" t="s">
        <v>443</v>
      </c>
      <c r="B2" s="200"/>
      <c r="C2" s="200"/>
      <c r="D2" s="200"/>
      <c r="E2" s="200"/>
      <c r="F2" s="200"/>
      <c r="G2" s="201"/>
    </row>
    <row r="3" spans="1:7" ht="20" customHeight="1" x14ac:dyDescent="0.35">
      <c r="A3" s="23" t="s">
        <v>321</v>
      </c>
      <c r="B3" s="24" t="s">
        <v>21</v>
      </c>
      <c r="C3" s="24" t="s">
        <v>444</v>
      </c>
      <c r="D3" s="24" t="s">
        <v>323</v>
      </c>
      <c r="E3" s="24" t="s">
        <v>324</v>
      </c>
      <c r="F3" s="24" t="s">
        <v>325</v>
      </c>
      <c r="G3" s="25" t="s">
        <v>326</v>
      </c>
    </row>
    <row r="4" spans="1:7" ht="90" customHeight="1" x14ac:dyDescent="0.35">
      <c r="A4" s="26" t="s">
        <v>445</v>
      </c>
      <c r="B4" s="27" t="s">
        <v>446</v>
      </c>
      <c r="C4" s="27" t="s">
        <v>447</v>
      </c>
      <c r="D4" s="27" t="s">
        <v>192</v>
      </c>
      <c r="E4" s="27" t="s">
        <v>1607</v>
      </c>
      <c r="F4" s="27" t="s">
        <v>1608</v>
      </c>
      <c r="G4" s="28" t="s">
        <v>1606</v>
      </c>
    </row>
    <row r="5" spans="1:7" ht="90" customHeight="1" x14ac:dyDescent="0.35">
      <c r="A5" s="29" t="s">
        <v>448</v>
      </c>
      <c r="B5" s="30" t="s">
        <v>446</v>
      </c>
      <c r="C5" s="30" t="s">
        <v>449</v>
      </c>
      <c r="D5" s="30" t="s">
        <v>195</v>
      </c>
      <c r="E5" s="30" t="s">
        <v>1609</v>
      </c>
      <c r="F5" s="102" t="s">
        <v>1610</v>
      </c>
      <c r="G5" s="31" t="s">
        <v>1611</v>
      </c>
    </row>
    <row r="6" spans="1:7" ht="90" customHeight="1" x14ac:dyDescent="0.35">
      <c r="A6" s="26" t="s">
        <v>450</v>
      </c>
      <c r="B6" s="27" t="s">
        <v>446</v>
      </c>
      <c r="C6" s="27" t="s">
        <v>451</v>
      </c>
      <c r="D6" s="27" t="s">
        <v>198</v>
      </c>
      <c r="E6" s="27" t="s">
        <v>1612</v>
      </c>
      <c r="F6" s="103" t="s">
        <v>1613</v>
      </c>
      <c r="G6" s="28" t="s">
        <v>1614</v>
      </c>
    </row>
    <row r="7" spans="1:7" ht="90" customHeight="1" x14ac:dyDescent="0.35">
      <c r="A7" s="29" t="s">
        <v>452</v>
      </c>
      <c r="B7" s="30" t="s">
        <v>446</v>
      </c>
      <c r="C7" s="30" t="s">
        <v>453</v>
      </c>
      <c r="D7" s="30" t="s">
        <v>201</v>
      </c>
      <c r="E7" s="30" t="s">
        <v>1615</v>
      </c>
      <c r="F7" s="30" t="s">
        <v>1616</v>
      </c>
      <c r="G7" s="31" t="s">
        <v>1617</v>
      </c>
    </row>
    <row r="8" spans="1:7" ht="90" customHeight="1" x14ac:dyDescent="0.35">
      <c r="A8" s="26" t="s">
        <v>454</v>
      </c>
      <c r="B8" s="27" t="s">
        <v>446</v>
      </c>
      <c r="C8" s="27" t="s">
        <v>455</v>
      </c>
      <c r="D8" s="27" t="s">
        <v>204</v>
      </c>
      <c r="E8" s="27" t="s">
        <v>1618</v>
      </c>
      <c r="F8" s="27" t="s">
        <v>1619</v>
      </c>
      <c r="G8" s="28" t="s">
        <v>456</v>
      </c>
    </row>
    <row r="9" spans="1:7" ht="90" customHeight="1" x14ac:dyDescent="0.35">
      <c r="A9" s="29" t="s">
        <v>457</v>
      </c>
      <c r="B9" s="30" t="s">
        <v>446</v>
      </c>
      <c r="C9" s="30" t="s">
        <v>458</v>
      </c>
      <c r="D9" s="30" t="s">
        <v>192</v>
      </c>
      <c r="E9" s="30" t="s">
        <v>1620</v>
      </c>
      <c r="F9" s="102" t="s">
        <v>1835</v>
      </c>
      <c r="G9" s="31" t="s">
        <v>1621</v>
      </c>
    </row>
    <row r="10" spans="1:7" ht="90" customHeight="1" x14ac:dyDescent="0.35">
      <c r="A10" s="26" t="s">
        <v>459</v>
      </c>
      <c r="B10" s="27" t="s">
        <v>460</v>
      </c>
      <c r="C10" s="27" t="s">
        <v>461</v>
      </c>
      <c r="D10" s="27" t="s">
        <v>192</v>
      </c>
      <c r="E10" s="27" t="s">
        <v>1622</v>
      </c>
      <c r="F10" s="103" t="s">
        <v>1623</v>
      </c>
      <c r="G10" s="28" t="s">
        <v>1624</v>
      </c>
    </row>
    <row r="11" spans="1:7" ht="90" customHeight="1" x14ac:dyDescent="0.35">
      <c r="A11" s="29" t="s">
        <v>462</v>
      </c>
      <c r="B11" s="30" t="s">
        <v>460</v>
      </c>
      <c r="C11" s="30" t="s">
        <v>463</v>
      </c>
      <c r="D11" s="30" t="s">
        <v>192</v>
      </c>
      <c r="E11" s="30" t="s">
        <v>1625</v>
      </c>
      <c r="F11" s="30" t="s">
        <v>1626</v>
      </c>
      <c r="G11" s="31" t="s">
        <v>1627</v>
      </c>
    </row>
    <row r="12" spans="1:7" ht="90" customHeight="1" x14ac:dyDescent="0.35">
      <c r="A12" s="26" t="s">
        <v>464</v>
      </c>
      <c r="B12" s="27" t="s">
        <v>460</v>
      </c>
      <c r="C12" s="27" t="s">
        <v>465</v>
      </c>
      <c r="D12" s="27" t="s">
        <v>195</v>
      </c>
      <c r="E12" s="27" t="s">
        <v>1628</v>
      </c>
      <c r="F12" s="27" t="s">
        <v>1629</v>
      </c>
      <c r="G12" s="28" t="s">
        <v>466</v>
      </c>
    </row>
    <row r="13" spans="1:7" ht="90" customHeight="1" x14ac:dyDescent="0.35">
      <c r="A13" s="104" t="s">
        <v>467</v>
      </c>
      <c r="B13" s="30" t="s">
        <v>460</v>
      </c>
      <c r="C13" s="30" t="s">
        <v>468</v>
      </c>
      <c r="D13" s="30" t="s">
        <v>198</v>
      </c>
      <c r="E13" s="30" t="s">
        <v>1630</v>
      </c>
      <c r="F13" s="102" t="s">
        <v>1631</v>
      </c>
      <c r="G13" s="31" t="s">
        <v>1632</v>
      </c>
    </row>
    <row r="14" spans="1:7" ht="90" customHeight="1" x14ac:dyDescent="0.35">
      <c r="A14" s="26" t="s">
        <v>469</v>
      </c>
      <c r="B14" s="27" t="s">
        <v>470</v>
      </c>
      <c r="C14" s="27" t="s">
        <v>461</v>
      </c>
      <c r="D14" s="27" t="s">
        <v>192</v>
      </c>
      <c r="E14" s="27" t="s">
        <v>1633</v>
      </c>
      <c r="F14" s="27" t="s">
        <v>1634</v>
      </c>
      <c r="G14" s="28" t="s">
        <v>1635</v>
      </c>
    </row>
    <row r="15" spans="1:7" ht="90" customHeight="1" x14ac:dyDescent="0.35">
      <c r="A15" s="29" t="s">
        <v>471</v>
      </c>
      <c r="B15" s="30" t="s">
        <v>470</v>
      </c>
      <c r="C15" s="30" t="s">
        <v>472</v>
      </c>
      <c r="D15" s="30" t="s">
        <v>195</v>
      </c>
      <c r="E15" s="102" t="s">
        <v>1636</v>
      </c>
      <c r="F15" s="30" t="s">
        <v>1637</v>
      </c>
      <c r="G15" s="31" t="s">
        <v>1638</v>
      </c>
    </row>
    <row r="16" spans="1:7" ht="90" customHeight="1" x14ac:dyDescent="0.35">
      <c r="A16" s="26" t="s">
        <v>473</v>
      </c>
      <c r="B16" s="27" t="s">
        <v>474</v>
      </c>
      <c r="C16" s="27" t="s">
        <v>475</v>
      </c>
      <c r="D16" s="27" t="s">
        <v>192</v>
      </c>
      <c r="E16" s="27" t="s">
        <v>1639</v>
      </c>
      <c r="F16" s="103" t="s">
        <v>1640</v>
      </c>
      <c r="G16" s="28" t="s">
        <v>1641</v>
      </c>
    </row>
    <row r="17" spans="1:7" ht="90" customHeight="1" x14ac:dyDescent="0.35">
      <c r="A17" s="29" t="s">
        <v>476</v>
      </c>
      <c r="B17" s="30" t="s">
        <v>474</v>
      </c>
      <c r="C17" s="30" t="s">
        <v>463</v>
      </c>
      <c r="D17" s="30" t="s">
        <v>192</v>
      </c>
      <c r="E17" s="30" t="s">
        <v>1642</v>
      </c>
      <c r="F17" s="102" t="s">
        <v>1643</v>
      </c>
      <c r="G17" s="31" t="s">
        <v>1644</v>
      </c>
    </row>
    <row r="18" spans="1:7" ht="90" customHeight="1" x14ac:dyDescent="0.35">
      <c r="A18" s="26" t="s">
        <v>477</v>
      </c>
      <c r="B18" s="27" t="s">
        <v>474</v>
      </c>
      <c r="C18" s="27" t="s">
        <v>465</v>
      </c>
      <c r="D18" s="27" t="s">
        <v>195</v>
      </c>
      <c r="E18" s="27" t="s">
        <v>1645</v>
      </c>
      <c r="F18" s="27" t="s">
        <v>1646</v>
      </c>
      <c r="G18" s="28" t="s">
        <v>1647</v>
      </c>
    </row>
    <row r="19" spans="1:7" ht="90" customHeight="1" x14ac:dyDescent="0.35">
      <c r="A19" s="29" t="s">
        <v>478</v>
      </c>
      <c r="B19" s="30" t="s">
        <v>474</v>
      </c>
      <c r="C19" s="30" t="s">
        <v>468</v>
      </c>
      <c r="D19" s="30" t="s">
        <v>198</v>
      </c>
      <c r="E19" s="30" t="s">
        <v>1648</v>
      </c>
      <c r="F19" s="30" t="s">
        <v>1649</v>
      </c>
      <c r="G19" s="31" t="s">
        <v>1650</v>
      </c>
    </row>
    <row r="20" spans="1:7" ht="90" customHeight="1" x14ac:dyDescent="0.35">
      <c r="A20" s="26" t="s">
        <v>479</v>
      </c>
      <c r="B20" s="27" t="s">
        <v>480</v>
      </c>
      <c r="C20" s="27" t="s">
        <v>481</v>
      </c>
      <c r="D20" s="27" t="s">
        <v>195</v>
      </c>
      <c r="E20" s="27" t="s">
        <v>1651</v>
      </c>
      <c r="F20" s="27" t="s">
        <v>1652</v>
      </c>
      <c r="G20" s="28" t="s">
        <v>1653</v>
      </c>
    </row>
    <row r="21" spans="1:7" ht="90" customHeight="1" x14ac:dyDescent="0.35">
      <c r="A21" s="29" t="s">
        <v>482</v>
      </c>
      <c r="B21" s="30" t="s">
        <v>480</v>
      </c>
      <c r="C21" s="30" t="s">
        <v>451</v>
      </c>
      <c r="D21" s="30" t="s">
        <v>198</v>
      </c>
      <c r="E21" s="30" t="s">
        <v>1654</v>
      </c>
      <c r="F21" s="30" t="s">
        <v>1655</v>
      </c>
      <c r="G21" s="31" t="s">
        <v>483</v>
      </c>
    </row>
    <row r="22" spans="1:7" ht="90" customHeight="1" x14ac:dyDescent="0.35">
      <c r="A22" s="26" t="s">
        <v>484</v>
      </c>
      <c r="B22" s="27" t="s">
        <v>480</v>
      </c>
      <c r="C22" s="27" t="s">
        <v>485</v>
      </c>
      <c r="D22" s="27" t="s">
        <v>192</v>
      </c>
      <c r="E22" s="27" t="s">
        <v>1656</v>
      </c>
      <c r="F22" s="27" t="s">
        <v>1657</v>
      </c>
      <c r="G22" s="28" t="s">
        <v>1658</v>
      </c>
    </row>
    <row r="23" spans="1:7" ht="90" customHeight="1" x14ac:dyDescent="0.35">
      <c r="A23" s="29" t="s">
        <v>486</v>
      </c>
      <c r="B23" s="30" t="s">
        <v>487</v>
      </c>
      <c r="C23" s="30" t="s">
        <v>488</v>
      </c>
      <c r="D23" s="30" t="s">
        <v>195</v>
      </c>
      <c r="E23" s="30" t="s">
        <v>1659</v>
      </c>
      <c r="F23" s="30" t="s">
        <v>1660</v>
      </c>
      <c r="G23" s="31" t="s">
        <v>1661</v>
      </c>
    </row>
    <row r="24" spans="1:7" ht="90" customHeight="1" x14ac:dyDescent="0.35">
      <c r="A24" s="26" t="s">
        <v>489</v>
      </c>
      <c r="B24" s="27" t="s">
        <v>490</v>
      </c>
      <c r="C24" s="27" t="s">
        <v>491</v>
      </c>
      <c r="D24" s="27" t="s">
        <v>198</v>
      </c>
      <c r="E24" s="27" t="s">
        <v>1662</v>
      </c>
      <c r="F24" s="27" t="s">
        <v>1663</v>
      </c>
      <c r="G24" s="28" t="s">
        <v>1664</v>
      </c>
    </row>
    <row r="25" spans="1:7" ht="90" customHeight="1" x14ac:dyDescent="0.35">
      <c r="A25" s="29" t="s">
        <v>492</v>
      </c>
      <c r="B25" s="30" t="s">
        <v>493</v>
      </c>
      <c r="C25" s="30" t="s">
        <v>488</v>
      </c>
      <c r="D25" s="30" t="s">
        <v>195</v>
      </c>
      <c r="E25" s="30" t="s">
        <v>1665</v>
      </c>
      <c r="F25" s="102" t="s">
        <v>1666</v>
      </c>
      <c r="G25" s="31" t="s">
        <v>1667</v>
      </c>
    </row>
    <row r="26" spans="1:7" ht="90" customHeight="1" x14ac:dyDescent="0.35">
      <c r="A26" s="26" t="s">
        <v>494</v>
      </c>
      <c r="B26" s="27" t="s">
        <v>495</v>
      </c>
      <c r="C26" s="27" t="s">
        <v>496</v>
      </c>
      <c r="D26" s="27" t="s">
        <v>195</v>
      </c>
      <c r="E26" s="27" t="s">
        <v>1668</v>
      </c>
      <c r="F26" s="27" t="s">
        <v>1669</v>
      </c>
      <c r="G26" s="28" t="s">
        <v>1670</v>
      </c>
    </row>
    <row r="27" spans="1:7" ht="40" customHeight="1" thickBot="1" x14ac:dyDescent="0.4">
      <c r="A27" s="276" t="s">
        <v>497</v>
      </c>
      <c r="B27" s="205"/>
      <c r="C27" s="205"/>
      <c r="D27" s="205"/>
      <c r="E27" s="205"/>
      <c r="F27" s="205"/>
      <c r="G27" s="206"/>
    </row>
  </sheetData>
  <mergeCells count="3">
    <mergeCell ref="A27:G27"/>
    <mergeCell ref="A2:G2"/>
    <mergeCell ref="A1:G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topLeftCell="D1" workbookViewId="0">
      <selection activeCell="F7" sqref="F7"/>
    </sheetView>
  </sheetViews>
  <sheetFormatPr defaultRowHeight="14.5" x14ac:dyDescent="0.35"/>
  <cols>
    <col min="1" max="1" width="9.54296875" customWidth="1"/>
    <col min="2" max="2" width="8.81640625" customWidth="1"/>
    <col min="3" max="3" width="10.453125" customWidth="1"/>
    <col min="4" max="4" width="9.26953125" customWidth="1"/>
    <col min="5" max="6" width="70" customWidth="1"/>
    <col min="7" max="7" width="60" customWidth="1"/>
  </cols>
  <sheetData>
    <row r="1" spans="1:7" ht="18.5" customHeight="1" x14ac:dyDescent="0.35">
      <c r="A1" s="280" t="s">
        <v>498</v>
      </c>
      <c r="B1" s="200"/>
      <c r="C1" s="200"/>
      <c r="D1" s="200"/>
      <c r="E1" s="200"/>
      <c r="F1" s="200"/>
      <c r="G1" s="201"/>
    </row>
    <row r="2" spans="1:7" ht="45" customHeight="1" x14ac:dyDescent="0.35">
      <c r="A2" s="279" t="s">
        <v>499</v>
      </c>
      <c r="B2" s="200"/>
      <c r="C2" s="200"/>
      <c r="D2" s="200"/>
      <c r="E2" s="200"/>
      <c r="F2" s="200"/>
      <c r="G2" s="201"/>
    </row>
    <row r="3" spans="1:7" ht="20" customHeight="1" x14ac:dyDescent="0.35">
      <c r="A3" s="24" t="s">
        <v>321</v>
      </c>
      <c r="B3" s="24" t="s">
        <v>21</v>
      </c>
      <c r="C3" s="24" t="s">
        <v>500</v>
      </c>
      <c r="D3" s="24" t="s">
        <v>323</v>
      </c>
      <c r="E3" s="24" t="s">
        <v>324</v>
      </c>
      <c r="F3" s="24" t="s">
        <v>325</v>
      </c>
      <c r="G3" s="24" t="s">
        <v>326</v>
      </c>
    </row>
    <row r="4" spans="1:7" ht="90" customHeight="1" x14ac:dyDescent="0.35">
      <c r="A4" s="59" t="s">
        <v>501</v>
      </c>
      <c r="B4" s="59" t="s">
        <v>446</v>
      </c>
      <c r="C4" s="59" t="s">
        <v>502</v>
      </c>
      <c r="D4" s="59" t="s">
        <v>195</v>
      </c>
      <c r="E4" s="59" t="s">
        <v>1671</v>
      </c>
      <c r="F4" s="59" t="s">
        <v>1672</v>
      </c>
      <c r="G4" s="59" t="s">
        <v>503</v>
      </c>
    </row>
    <row r="5" spans="1:7" ht="90" customHeight="1" x14ac:dyDescent="0.35">
      <c r="A5" s="60" t="s">
        <v>504</v>
      </c>
      <c r="B5" s="60" t="s">
        <v>446</v>
      </c>
      <c r="C5" s="60" t="s">
        <v>505</v>
      </c>
      <c r="D5" s="60" t="s">
        <v>198</v>
      </c>
      <c r="E5" s="60" t="s">
        <v>1673</v>
      </c>
      <c r="F5" s="60" t="s">
        <v>1674</v>
      </c>
      <c r="G5" s="60" t="s">
        <v>1836</v>
      </c>
    </row>
    <row r="6" spans="1:7" ht="90" customHeight="1" x14ac:dyDescent="0.35">
      <c r="A6" s="59" t="s">
        <v>506</v>
      </c>
      <c r="B6" s="59" t="s">
        <v>446</v>
      </c>
      <c r="C6" s="59" t="s">
        <v>507</v>
      </c>
      <c r="D6" s="59" t="s">
        <v>201</v>
      </c>
      <c r="E6" s="59" t="s">
        <v>1675</v>
      </c>
      <c r="F6" s="59" t="s">
        <v>1676</v>
      </c>
      <c r="G6" s="59" t="s">
        <v>508</v>
      </c>
    </row>
    <row r="7" spans="1:7" ht="90" customHeight="1" x14ac:dyDescent="0.35">
      <c r="A7" s="60" t="s">
        <v>509</v>
      </c>
      <c r="B7" s="60" t="s">
        <v>446</v>
      </c>
      <c r="C7" s="60" t="s">
        <v>455</v>
      </c>
      <c r="D7" s="60" t="s">
        <v>204</v>
      </c>
      <c r="E7" s="60" t="s">
        <v>1677</v>
      </c>
      <c r="F7" s="60" t="s">
        <v>1678</v>
      </c>
      <c r="G7" s="60" t="s">
        <v>456</v>
      </c>
    </row>
    <row r="8" spans="1:7" ht="90" customHeight="1" x14ac:dyDescent="0.35">
      <c r="A8" s="59" t="s">
        <v>510</v>
      </c>
      <c r="B8" s="59" t="s">
        <v>446</v>
      </c>
      <c r="C8" s="59" t="s">
        <v>511</v>
      </c>
      <c r="D8" s="59" t="s">
        <v>192</v>
      </c>
      <c r="E8" s="59" t="s">
        <v>1679</v>
      </c>
      <c r="F8" s="59" t="s">
        <v>1680</v>
      </c>
      <c r="G8" s="59" t="s">
        <v>560</v>
      </c>
    </row>
    <row r="9" spans="1:7" ht="90" customHeight="1" x14ac:dyDescent="0.35">
      <c r="A9" s="60" t="s">
        <v>512</v>
      </c>
      <c r="B9" s="60" t="s">
        <v>460</v>
      </c>
      <c r="C9" s="60" t="s">
        <v>513</v>
      </c>
      <c r="D9" s="60" t="s">
        <v>195</v>
      </c>
      <c r="E9" s="60" t="s">
        <v>1683</v>
      </c>
      <c r="F9" s="60" t="s">
        <v>1682</v>
      </c>
      <c r="G9" s="60" t="s">
        <v>1681</v>
      </c>
    </row>
    <row r="10" spans="1:7" ht="90" customHeight="1" x14ac:dyDescent="0.35">
      <c r="A10" s="59" t="s">
        <v>514</v>
      </c>
      <c r="B10" s="59" t="s">
        <v>460</v>
      </c>
      <c r="C10" s="59" t="s">
        <v>451</v>
      </c>
      <c r="D10" s="59" t="s">
        <v>198</v>
      </c>
      <c r="E10" s="59" t="s">
        <v>1684</v>
      </c>
      <c r="F10" s="59" t="s">
        <v>1685</v>
      </c>
      <c r="G10" s="59" t="s">
        <v>515</v>
      </c>
    </row>
    <row r="11" spans="1:7" ht="90" customHeight="1" x14ac:dyDescent="0.35">
      <c r="A11" s="60" t="s">
        <v>516</v>
      </c>
      <c r="B11" s="60" t="s">
        <v>460</v>
      </c>
      <c r="C11" s="60" t="s">
        <v>511</v>
      </c>
      <c r="D11" s="60" t="s">
        <v>192</v>
      </c>
      <c r="E11" s="60" t="s">
        <v>1687</v>
      </c>
      <c r="F11" s="60" t="s">
        <v>1686</v>
      </c>
      <c r="G11" s="60" t="s">
        <v>517</v>
      </c>
    </row>
    <row r="12" spans="1:7" ht="90" customHeight="1" x14ac:dyDescent="0.35">
      <c r="A12" s="59" t="s">
        <v>518</v>
      </c>
      <c r="B12" s="59" t="s">
        <v>470</v>
      </c>
      <c r="C12" s="59" t="s">
        <v>519</v>
      </c>
      <c r="D12" s="59" t="s">
        <v>195</v>
      </c>
      <c r="E12" s="59" t="s">
        <v>1688</v>
      </c>
      <c r="F12" s="59" t="s">
        <v>1689</v>
      </c>
      <c r="G12" s="59" t="s">
        <v>1690</v>
      </c>
    </row>
    <row r="13" spans="1:7" ht="90" customHeight="1" x14ac:dyDescent="0.35">
      <c r="A13" s="60" t="s">
        <v>520</v>
      </c>
      <c r="B13" s="60" t="s">
        <v>470</v>
      </c>
      <c r="C13" s="60" t="s">
        <v>511</v>
      </c>
      <c r="D13" s="60" t="s">
        <v>192</v>
      </c>
      <c r="E13" s="60" t="s">
        <v>1691</v>
      </c>
      <c r="F13" s="60" t="s">
        <v>1692</v>
      </c>
      <c r="G13" s="60" t="s">
        <v>521</v>
      </c>
    </row>
    <row r="14" spans="1:7" ht="90" customHeight="1" x14ac:dyDescent="0.35">
      <c r="A14" s="59" t="s">
        <v>522</v>
      </c>
      <c r="B14" s="59" t="s">
        <v>474</v>
      </c>
      <c r="C14" s="59" t="s">
        <v>523</v>
      </c>
      <c r="D14" s="59" t="s">
        <v>195</v>
      </c>
      <c r="E14" s="59" t="s">
        <v>1693</v>
      </c>
      <c r="F14" s="59" t="s">
        <v>1694</v>
      </c>
      <c r="G14" s="59" t="s">
        <v>524</v>
      </c>
    </row>
    <row r="15" spans="1:7" ht="90" customHeight="1" x14ac:dyDescent="0.35">
      <c r="A15" s="60" t="s">
        <v>525</v>
      </c>
      <c r="B15" s="60" t="s">
        <v>474</v>
      </c>
      <c r="C15" s="60" t="s">
        <v>451</v>
      </c>
      <c r="D15" s="60" t="s">
        <v>198</v>
      </c>
      <c r="E15" s="60" t="s">
        <v>1697</v>
      </c>
      <c r="F15" s="60" t="s">
        <v>1696</v>
      </c>
      <c r="G15" s="60" t="s">
        <v>1695</v>
      </c>
    </row>
    <row r="16" spans="1:7" ht="90" customHeight="1" x14ac:dyDescent="0.35">
      <c r="A16" s="59" t="s">
        <v>526</v>
      </c>
      <c r="B16" s="59" t="s">
        <v>474</v>
      </c>
      <c r="C16" s="59" t="s">
        <v>527</v>
      </c>
      <c r="D16" s="59" t="s">
        <v>192</v>
      </c>
      <c r="E16" s="59" t="s">
        <v>1698</v>
      </c>
      <c r="F16" s="59" t="s">
        <v>1699</v>
      </c>
      <c r="G16" s="59" t="s">
        <v>1700</v>
      </c>
    </row>
    <row r="17" spans="1:7" ht="90" customHeight="1" x14ac:dyDescent="0.35">
      <c r="A17" s="60" t="s">
        <v>528</v>
      </c>
      <c r="B17" s="60" t="s">
        <v>480</v>
      </c>
      <c r="C17" s="60" t="s">
        <v>529</v>
      </c>
      <c r="D17" s="60" t="s">
        <v>192</v>
      </c>
      <c r="E17" s="60" t="s">
        <v>1702</v>
      </c>
      <c r="F17" s="60" t="s">
        <v>1701</v>
      </c>
      <c r="G17" s="60" t="s">
        <v>530</v>
      </c>
    </row>
    <row r="18" spans="1:7" ht="90" customHeight="1" x14ac:dyDescent="0.35">
      <c r="A18" s="59" t="s">
        <v>531</v>
      </c>
      <c r="B18" s="59" t="s">
        <v>480</v>
      </c>
      <c r="C18" s="59" t="s">
        <v>532</v>
      </c>
      <c r="D18" s="59" t="s">
        <v>195</v>
      </c>
      <c r="E18" s="59" t="s">
        <v>1703</v>
      </c>
      <c r="F18" s="59" t="s">
        <v>1704</v>
      </c>
      <c r="G18" s="59" t="s">
        <v>533</v>
      </c>
    </row>
    <row r="19" spans="1:7" ht="90" customHeight="1" x14ac:dyDescent="0.35">
      <c r="A19" s="60" t="s">
        <v>534</v>
      </c>
      <c r="B19" s="60" t="s">
        <v>535</v>
      </c>
      <c r="C19" s="60" t="s">
        <v>536</v>
      </c>
      <c r="D19" s="60" t="s">
        <v>195</v>
      </c>
      <c r="E19" s="60" t="s">
        <v>1706</v>
      </c>
      <c r="F19" s="60" t="s">
        <v>1705</v>
      </c>
      <c r="G19" s="60" t="s">
        <v>537</v>
      </c>
    </row>
    <row r="20" spans="1:7" ht="90" customHeight="1" x14ac:dyDescent="0.35">
      <c r="A20" s="59" t="s">
        <v>538</v>
      </c>
      <c r="B20" s="59" t="s">
        <v>539</v>
      </c>
      <c r="C20" s="59" t="s">
        <v>540</v>
      </c>
      <c r="D20" s="59" t="s">
        <v>198</v>
      </c>
      <c r="E20" s="59" t="s">
        <v>1707</v>
      </c>
      <c r="F20" s="59" t="s">
        <v>1708</v>
      </c>
      <c r="G20" s="59" t="s">
        <v>541</v>
      </c>
    </row>
    <row r="21" spans="1:7" ht="90" customHeight="1" x14ac:dyDescent="0.35">
      <c r="A21" s="60" t="s">
        <v>542</v>
      </c>
      <c r="B21" s="60" t="s">
        <v>543</v>
      </c>
      <c r="C21" s="60" t="s">
        <v>540</v>
      </c>
      <c r="D21" s="60" t="s">
        <v>198</v>
      </c>
      <c r="E21" s="60" t="s">
        <v>1711</v>
      </c>
      <c r="F21" s="60" t="s">
        <v>1710</v>
      </c>
      <c r="G21" s="60" t="s">
        <v>1709</v>
      </c>
    </row>
    <row r="22" spans="1:7" ht="90" customHeight="1" x14ac:dyDescent="0.35">
      <c r="A22" s="59" t="s">
        <v>544</v>
      </c>
      <c r="B22" s="59" t="s">
        <v>487</v>
      </c>
      <c r="C22" s="59" t="s">
        <v>491</v>
      </c>
      <c r="D22" s="59" t="s">
        <v>198</v>
      </c>
      <c r="E22" s="59" t="s">
        <v>1712</v>
      </c>
      <c r="F22" s="59" t="s">
        <v>1713</v>
      </c>
      <c r="G22" s="59" t="s">
        <v>1714</v>
      </c>
    </row>
    <row r="23" spans="1:7" ht="45" customHeight="1" x14ac:dyDescent="0.35">
      <c r="A23" s="279" t="s">
        <v>545</v>
      </c>
      <c r="B23" s="200"/>
      <c r="C23" s="200"/>
      <c r="D23" s="200"/>
      <c r="E23" s="200"/>
      <c r="F23" s="200"/>
      <c r="G23" s="201"/>
    </row>
  </sheetData>
  <mergeCells count="3">
    <mergeCell ref="A2:G2"/>
    <mergeCell ref="A1:G1"/>
    <mergeCell ref="A23:G23"/>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topLeftCell="A13" workbookViewId="0">
      <selection activeCell="F18" sqref="F18"/>
    </sheetView>
  </sheetViews>
  <sheetFormatPr defaultRowHeight="14.5" x14ac:dyDescent="0.35"/>
  <cols>
    <col min="1" max="2" width="8.26953125" customWidth="1"/>
    <col min="3" max="3" width="15.7265625" customWidth="1"/>
    <col min="4" max="4" width="11" customWidth="1"/>
    <col min="5" max="6" width="70" customWidth="1"/>
    <col min="7" max="7" width="60" customWidth="1"/>
  </cols>
  <sheetData>
    <row r="1" spans="1:7" ht="28" customHeight="1" x14ac:dyDescent="0.35">
      <c r="A1" s="278" t="s">
        <v>546</v>
      </c>
      <c r="B1" s="223"/>
      <c r="C1" s="223"/>
      <c r="D1" s="223"/>
      <c r="E1" s="223"/>
      <c r="F1" s="223"/>
      <c r="G1" s="224"/>
    </row>
    <row r="2" spans="1:7" ht="36" customHeight="1" x14ac:dyDescent="0.35">
      <c r="A2" s="277" t="s">
        <v>547</v>
      </c>
      <c r="B2" s="200"/>
      <c r="C2" s="200"/>
      <c r="D2" s="200"/>
      <c r="E2" s="200"/>
      <c r="F2" s="200"/>
      <c r="G2" s="201"/>
    </row>
    <row r="3" spans="1:7" ht="24" customHeight="1" x14ac:dyDescent="0.35">
      <c r="A3" s="61" t="s">
        <v>321</v>
      </c>
      <c r="B3" s="57" t="s">
        <v>21</v>
      </c>
      <c r="C3" s="57" t="s">
        <v>500</v>
      </c>
      <c r="D3" s="57" t="s">
        <v>323</v>
      </c>
      <c r="E3" s="57" t="s">
        <v>324</v>
      </c>
      <c r="F3" s="57" t="s">
        <v>325</v>
      </c>
      <c r="G3" s="62" t="s">
        <v>326</v>
      </c>
    </row>
    <row r="4" spans="1:7" ht="90" customHeight="1" x14ac:dyDescent="0.35">
      <c r="A4" s="63" t="s">
        <v>548</v>
      </c>
      <c r="B4" s="59" t="s">
        <v>446</v>
      </c>
      <c r="C4" s="59" t="s">
        <v>549</v>
      </c>
      <c r="D4" s="59" t="s">
        <v>198</v>
      </c>
      <c r="E4" s="59" t="s">
        <v>1775</v>
      </c>
      <c r="F4" s="59" t="s">
        <v>1776</v>
      </c>
      <c r="G4" s="64" t="s">
        <v>1777</v>
      </c>
    </row>
    <row r="5" spans="1:7" ht="90" customHeight="1" x14ac:dyDescent="0.35">
      <c r="A5" s="65" t="s">
        <v>550</v>
      </c>
      <c r="B5" s="60" t="s">
        <v>446</v>
      </c>
      <c r="C5" s="60" t="s">
        <v>551</v>
      </c>
      <c r="D5" s="60" t="s">
        <v>201</v>
      </c>
      <c r="E5" s="60" t="s">
        <v>1780</v>
      </c>
      <c r="F5" s="60" t="s">
        <v>1779</v>
      </c>
      <c r="G5" s="66" t="s">
        <v>1778</v>
      </c>
    </row>
    <row r="6" spans="1:7" ht="90" customHeight="1" x14ac:dyDescent="0.35">
      <c r="A6" s="63" t="s">
        <v>552</v>
      </c>
      <c r="B6" s="59" t="s">
        <v>446</v>
      </c>
      <c r="C6" s="59" t="s">
        <v>553</v>
      </c>
      <c r="D6" s="59" t="s">
        <v>204</v>
      </c>
      <c r="E6" s="59" t="s">
        <v>1781</v>
      </c>
      <c r="F6" s="105" t="s">
        <v>1782</v>
      </c>
      <c r="G6" s="106" t="s">
        <v>1783</v>
      </c>
    </row>
    <row r="7" spans="1:7" ht="90" customHeight="1" x14ac:dyDescent="0.35">
      <c r="A7" s="65" t="s">
        <v>554</v>
      </c>
      <c r="B7" s="60" t="s">
        <v>446</v>
      </c>
      <c r="C7" s="60" t="s">
        <v>555</v>
      </c>
      <c r="D7" s="60" t="s">
        <v>198</v>
      </c>
      <c r="E7" s="60" t="s">
        <v>1715</v>
      </c>
      <c r="F7" s="60" t="s">
        <v>1785</v>
      </c>
      <c r="G7" s="66" t="s">
        <v>1784</v>
      </c>
    </row>
    <row r="8" spans="1:7" ht="90" customHeight="1" x14ac:dyDescent="0.35">
      <c r="A8" s="63" t="s">
        <v>556</v>
      </c>
      <c r="B8" s="59" t="s">
        <v>446</v>
      </c>
      <c r="C8" s="59" t="s">
        <v>557</v>
      </c>
      <c r="D8" s="59" t="s">
        <v>195</v>
      </c>
      <c r="E8" s="59" t="s">
        <v>1786</v>
      </c>
      <c r="F8" s="59" t="s">
        <v>1787</v>
      </c>
      <c r="G8" s="64" t="s">
        <v>1788</v>
      </c>
    </row>
    <row r="9" spans="1:7" ht="90" customHeight="1" x14ac:dyDescent="0.35">
      <c r="A9" s="65" t="s">
        <v>558</v>
      </c>
      <c r="B9" s="60" t="s">
        <v>446</v>
      </c>
      <c r="C9" s="60" t="s">
        <v>559</v>
      </c>
      <c r="D9" s="60" t="s">
        <v>192</v>
      </c>
      <c r="E9" s="60" t="s">
        <v>1791</v>
      </c>
      <c r="F9" s="60" t="s">
        <v>1790</v>
      </c>
      <c r="G9" s="66" t="s">
        <v>1789</v>
      </c>
    </row>
    <row r="10" spans="1:7" ht="90" customHeight="1" x14ac:dyDescent="0.35">
      <c r="A10" s="63" t="s">
        <v>561</v>
      </c>
      <c r="B10" s="59" t="s">
        <v>460</v>
      </c>
      <c r="C10" s="59" t="s">
        <v>562</v>
      </c>
      <c r="D10" s="59" t="s">
        <v>198</v>
      </c>
      <c r="E10" s="59" t="s">
        <v>1792</v>
      </c>
      <c r="F10" s="105" t="s">
        <v>1793</v>
      </c>
      <c r="G10" s="64" t="s">
        <v>1794</v>
      </c>
    </row>
    <row r="11" spans="1:7" ht="90" customHeight="1" x14ac:dyDescent="0.35">
      <c r="A11" s="65" t="s">
        <v>563</v>
      </c>
      <c r="B11" s="60" t="s">
        <v>460</v>
      </c>
      <c r="C11" s="60" t="s">
        <v>507</v>
      </c>
      <c r="D11" s="60" t="s">
        <v>201</v>
      </c>
      <c r="E11" s="60" t="s">
        <v>1797</v>
      </c>
      <c r="F11" s="60" t="s">
        <v>1796</v>
      </c>
      <c r="G11" s="66" t="s">
        <v>1795</v>
      </c>
    </row>
    <row r="12" spans="1:7" ht="90" customHeight="1" x14ac:dyDescent="0.35">
      <c r="A12" s="63" t="s">
        <v>564</v>
      </c>
      <c r="B12" s="59" t="s">
        <v>460</v>
      </c>
      <c r="C12" s="59" t="s">
        <v>565</v>
      </c>
      <c r="D12" s="59" t="s">
        <v>198</v>
      </c>
      <c r="E12" s="105" t="s">
        <v>1837</v>
      </c>
      <c r="F12" s="59" t="s">
        <v>1798</v>
      </c>
      <c r="G12" s="64" t="s">
        <v>1799</v>
      </c>
    </row>
    <row r="13" spans="1:7" ht="90" customHeight="1" x14ac:dyDescent="0.35">
      <c r="A13" s="65" t="s">
        <v>566</v>
      </c>
      <c r="B13" s="60" t="s">
        <v>460</v>
      </c>
      <c r="C13" s="60" t="s">
        <v>465</v>
      </c>
      <c r="D13" s="60" t="s">
        <v>195</v>
      </c>
      <c r="E13" s="108" t="s">
        <v>1802</v>
      </c>
      <c r="F13" s="60" t="s">
        <v>1801</v>
      </c>
      <c r="G13" s="66" t="s">
        <v>1800</v>
      </c>
    </row>
    <row r="14" spans="1:7" ht="90" customHeight="1" x14ac:dyDescent="0.35">
      <c r="A14" s="63" t="s">
        <v>567</v>
      </c>
      <c r="B14" s="59" t="s">
        <v>470</v>
      </c>
      <c r="C14" s="59" t="s">
        <v>562</v>
      </c>
      <c r="D14" s="59" t="s">
        <v>198</v>
      </c>
      <c r="E14" s="105" t="s">
        <v>1803</v>
      </c>
      <c r="F14" s="105" t="s">
        <v>1804</v>
      </c>
      <c r="G14" s="64" t="s">
        <v>1805</v>
      </c>
    </row>
    <row r="15" spans="1:7" ht="90" customHeight="1" x14ac:dyDescent="0.35">
      <c r="A15" s="65" t="s">
        <v>568</v>
      </c>
      <c r="B15" s="60" t="s">
        <v>470</v>
      </c>
      <c r="C15" s="60" t="s">
        <v>507</v>
      </c>
      <c r="D15" s="60" t="s">
        <v>201</v>
      </c>
      <c r="E15" s="60" t="s">
        <v>1808</v>
      </c>
      <c r="F15" s="60" t="s">
        <v>1807</v>
      </c>
      <c r="G15" s="66" t="s">
        <v>1806</v>
      </c>
    </row>
    <row r="16" spans="1:7" ht="90" customHeight="1" x14ac:dyDescent="0.35">
      <c r="A16" s="63" t="s">
        <v>569</v>
      </c>
      <c r="B16" s="59" t="s">
        <v>470</v>
      </c>
      <c r="C16" s="59" t="s">
        <v>472</v>
      </c>
      <c r="D16" s="59" t="s">
        <v>195</v>
      </c>
      <c r="E16" s="59" t="s">
        <v>1809</v>
      </c>
      <c r="F16" s="59" t="s">
        <v>1810</v>
      </c>
      <c r="G16" s="64" t="s">
        <v>1811</v>
      </c>
    </row>
    <row r="17" spans="1:7" ht="90" customHeight="1" x14ac:dyDescent="0.35">
      <c r="A17" s="65" t="s">
        <v>570</v>
      </c>
      <c r="B17" s="60" t="s">
        <v>474</v>
      </c>
      <c r="C17" s="60" t="s">
        <v>571</v>
      </c>
      <c r="D17" s="60" t="s">
        <v>198</v>
      </c>
      <c r="E17" s="108" t="s">
        <v>1840</v>
      </c>
      <c r="F17" s="108" t="s">
        <v>1812</v>
      </c>
      <c r="G17" s="66" t="s">
        <v>1813</v>
      </c>
    </row>
    <row r="18" spans="1:7" ht="90" customHeight="1" x14ac:dyDescent="0.35">
      <c r="A18" s="63" t="s">
        <v>572</v>
      </c>
      <c r="B18" s="59" t="s">
        <v>474</v>
      </c>
      <c r="C18" s="59" t="s">
        <v>507</v>
      </c>
      <c r="D18" s="59" t="s">
        <v>201</v>
      </c>
      <c r="E18" s="59" t="s">
        <v>1841</v>
      </c>
      <c r="F18" s="59" t="s">
        <v>1716</v>
      </c>
      <c r="G18" s="64" t="s">
        <v>1717</v>
      </c>
    </row>
    <row r="19" spans="1:7" ht="90" customHeight="1" x14ac:dyDescent="0.35">
      <c r="A19" s="65" t="s">
        <v>573</v>
      </c>
      <c r="B19" s="60" t="s">
        <v>474</v>
      </c>
      <c r="C19" s="60" t="s">
        <v>574</v>
      </c>
      <c r="D19" s="60" t="s">
        <v>195</v>
      </c>
      <c r="E19" s="108" t="s">
        <v>1816</v>
      </c>
      <c r="F19" s="60" t="s">
        <v>1815</v>
      </c>
      <c r="G19" s="66" t="s">
        <v>1814</v>
      </c>
    </row>
    <row r="20" spans="1:7" ht="90" customHeight="1" x14ac:dyDescent="0.35">
      <c r="A20" s="63" t="s">
        <v>575</v>
      </c>
      <c r="B20" s="59" t="s">
        <v>474</v>
      </c>
      <c r="C20" s="59" t="s">
        <v>559</v>
      </c>
      <c r="D20" s="59" t="s">
        <v>192</v>
      </c>
      <c r="E20" s="59" t="s">
        <v>1817</v>
      </c>
      <c r="F20" s="105" t="s">
        <v>1818</v>
      </c>
      <c r="G20" s="64" t="s">
        <v>1819</v>
      </c>
    </row>
    <row r="21" spans="1:7" ht="90" customHeight="1" x14ac:dyDescent="0.35">
      <c r="A21" s="65" t="s">
        <v>576</v>
      </c>
      <c r="B21" s="60" t="s">
        <v>480</v>
      </c>
      <c r="C21" s="60" t="s">
        <v>481</v>
      </c>
      <c r="D21" s="60" t="s">
        <v>195</v>
      </c>
      <c r="E21" s="60" t="s">
        <v>1822</v>
      </c>
      <c r="F21" s="60" t="s">
        <v>1821</v>
      </c>
      <c r="G21" s="66" t="s">
        <v>1820</v>
      </c>
    </row>
    <row r="22" spans="1:7" ht="90" customHeight="1" x14ac:dyDescent="0.35">
      <c r="A22" s="63" t="s">
        <v>577</v>
      </c>
      <c r="B22" s="59" t="s">
        <v>480</v>
      </c>
      <c r="C22" s="59" t="s">
        <v>578</v>
      </c>
      <c r="D22" s="59" t="s">
        <v>198</v>
      </c>
      <c r="E22" s="59" t="s">
        <v>1823</v>
      </c>
      <c r="F22" s="59" t="s">
        <v>1824</v>
      </c>
      <c r="G22" s="64" t="s">
        <v>1825</v>
      </c>
    </row>
    <row r="23" spans="1:7" ht="90" customHeight="1" x14ac:dyDescent="0.35">
      <c r="A23" s="65" t="s">
        <v>579</v>
      </c>
      <c r="B23" s="60" t="s">
        <v>487</v>
      </c>
      <c r="C23" s="60" t="s">
        <v>580</v>
      </c>
      <c r="D23" s="60" t="s">
        <v>198</v>
      </c>
      <c r="E23" s="60" t="s">
        <v>1828</v>
      </c>
      <c r="F23" s="60" t="s">
        <v>1827</v>
      </c>
      <c r="G23" s="66" t="s">
        <v>1826</v>
      </c>
    </row>
    <row r="24" spans="1:7" ht="90" customHeight="1" x14ac:dyDescent="0.35">
      <c r="A24" s="63" t="s">
        <v>581</v>
      </c>
      <c r="B24" s="59" t="s">
        <v>543</v>
      </c>
      <c r="C24" s="59" t="s">
        <v>582</v>
      </c>
      <c r="D24" s="59" t="s">
        <v>201</v>
      </c>
      <c r="E24" s="59" t="s">
        <v>1829</v>
      </c>
      <c r="F24" s="59" t="s">
        <v>1830</v>
      </c>
      <c r="G24" s="106" t="s">
        <v>1831</v>
      </c>
    </row>
    <row r="25" spans="1:7" ht="90" customHeight="1" x14ac:dyDescent="0.35">
      <c r="A25" s="63" t="s">
        <v>583</v>
      </c>
      <c r="B25" s="59" t="s">
        <v>584</v>
      </c>
      <c r="C25" s="105" t="s">
        <v>496</v>
      </c>
      <c r="D25" s="59" t="s">
        <v>195</v>
      </c>
      <c r="E25" s="59" t="s">
        <v>1834</v>
      </c>
      <c r="F25" s="59" t="s">
        <v>1833</v>
      </c>
      <c r="G25" s="64" t="s">
        <v>1832</v>
      </c>
    </row>
    <row r="26" spans="1:7" ht="54" customHeight="1" x14ac:dyDescent="0.35">
      <c r="A26" s="281" t="s">
        <v>585</v>
      </c>
      <c r="B26" s="205"/>
      <c r="C26" s="205"/>
      <c r="D26" s="205"/>
      <c r="E26" s="205"/>
      <c r="F26" s="205"/>
      <c r="G26" s="206"/>
    </row>
  </sheetData>
  <mergeCells count="3">
    <mergeCell ref="A26:G26"/>
    <mergeCell ref="A2:G2"/>
    <mergeCell ref="A1:G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4"/>
  <sheetViews>
    <sheetView topLeftCell="E17" workbookViewId="0">
      <selection activeCell="I19" sqref="I19"/>
    </sheetView>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282" t="s">
        <v>586</v>
      </c>
      <c r="B1" s="223"/>
      <c r="C1" s="223"/>
      <c r="D1" s="223"/>
      <c r="E1" s="223"/>
      <c r="F1" s="223"/>
      <c r="G1" s="224"/>
    </row>
    <row r="2" spans="1:7" x14ac:dyDescent="0.35">
      <c r="A2" s="277" t="s">
        <v>587</v>
      </c>
      <c r="B2" s="200"/>
      <c r="C2" s="200"/>
      <c r="D2" s="200"/>
      <c r="E2" s="200"/>
      <c r="F2" s="200"/>
      <c r="G2" s="201"/>
    </row>
    <row r="3" spans="1:7" x14ac:dyDescent="0.35">
      <c r="A3" s="67" t="s">
        <v>321</v>
      </c>
      <c r="B3" s="68" t="s">
        <v>21</v>
      </c>
      <c r="C3" s="68" t="s">
        <v>500</v>
      </c>
      <c r="D3" s="68" t="s">
        <v>323</v>
      </c>
      <c r="E3" s="68" t="s">
        <v>324</v>
      </c>
      <c r="F3" s="68" t="s">
        <v>325</v>
      </c>
      <c r="G3" s="69" t="s">
        <v>326</v>
      </c>
    </row>
    <row r="4" spans="1:7" ht="90" customHeight="1" x14ac:dyDescent="0.35">
      <c r="A4" s="63" t="s">
        <v>588</v>
      </c>
      <c r="B4" s="59" t="s">
        <v>446</v>
      </c>
      <c r="C4" s="59" t="s">
        <v>589</v>
      </c>
      <c r="D4" s="59" t="s">
        <v>204</v>
      </c>
      <c r="E4" s="105" t="s">
        <v>1719</v>
      </c>
      <c r="F4" s="59" t="s">
        <v>1720</v>
      </c>
      <c r="G4" s="106" t="s">
        <v>1721</v>
      </c>
    </row>
    <row r="5" spans="1:7" ht="90" customHeight="1" x14ac:dyDescent="0.35">
      <c r="A5" s="65" t="s">
        <v>590</v>
      </c>
      <c r="B5" s="60" t="s">
        <v>446</v>
      </c>
      <c r="C5" s="60" t="s">
        <v>591</v>
      </c>
      <c r="D5" s="60" t="s">
        <v>201</v>
      </c>
      <c r="E5" s="60" t="s">
        <v>1724</v>
      </c>
      <c r="F5" s="60" t="s">
        <v>1723</v>
      </c>
      <c r="G5" s="66" t="s">
        <v>1722</v>
      </c>
    </row>
    <row r="6" spans="1:7" ht="90" customHeight="1" x14ac:dyDescent="0.35">
      <c r="A6" s="63" t="s">
        <v>592</v>
      </c>
      <c r="B6" s="59" t="s">
        <v>446</v>
      </c>
      <c r="C6" s="59" t="s">
        <v>593</v>
      </c>
      <c r="D6" s="59" t="s">
        <v>198</v>
      </c>
      <c r="E6" s="59" t="s">
        <v>1725</v>
      </c>
      <c r="F6" s="59" t="s">
        <v>1726</v>
      </c>
      <c r="G6" s="64" t="s">
        <v>1727</v>
      </c>
    </row>
    <row r="7" spans="1:7" ht="90" customHeight="1" x14ac:dyDescent="0.35">
      <c r="A7" s="65" t="s">
        <v>594</v>
      </c>
      <c r="B7" s="60" t="s">
        <v>446</v>
      </c>
      <c r="C7" s="60" t="s">
        <v>465</v>
      </c>
      <c r="D7" s="60" t="s">
        <v>195</v>
      </c>
      <c r="E7" s="60" t="s">
        <v>1730</v>
      </c>
      <c r="F7" s="60" t="s">
        <v>1729</v>
      </c>
      <c r="G7" s="66" t="s">
        <v>1728</v>
      </c>
    </row>
    <row r="8" spans="1:7" ht="90" customHeight="1" x14ac:dyDescent="0.35">
      <c r="A8" s="63" t="s">
        <v>595</v>
      </c>
      <c r="B8" s="59" t="s">
        <v>446</v>
      </c>
      <c r="C8" s="59" t="s">
        <v>596</v>
      </c>
      <c r="D8" s="59" t="s">
        <v>192</v>
      </c>
      <c r="E8" s="59" t="s">
        <v>1731</v>
      </c>
      <c r="F8" s="59" t="s">
        <v>1732</v>
      </c>
      <c r="G8" s="64" t="s">
        <v>1733</v>
      </c>
    </row>
    <row r="9" spans="1:7" ht="90" customHeight="1" x14ac:dyDescent="0.35">
      <c r="A9" s="65" t="s">
        <v>597</v>
      </c>
      <c r="B9" s="60" t="s">
        <v>460</v>
      </c>
      <c r="C9" s="60" t="s">
        <v>598</v>
      </c>
      <c r="D9" s="60" t="s">
        <v>201</v>
      </c>
      <c r="E9" s="60" t="s">
        <v>1736</v>
      </c>
      <c r="F9" s="60" t="s">
        <v>1735</v>
      </c>
      <c r="G9" s="66" t="s">
        <v>1734</v>
      </c>
    </row>
    <row r="10" spans="1:7" ht="90" customHeight="1" x14ac:dyDescent="0.35">
      <c r="A10" s="63" t="s">
        <v>599</v>
      </c>
      <c r="B10" s="59" t="s">
        <v>460</v>
      </c>
      <c r="C10" s="59" t="s">
        <v>451</v>
      </c>
      <c r="D10" s="59" t="s">
        <v>198</v>
      </c>
      <c r="E10" s="59" t="s">
        <v>1737</v>
      </c>
      <c r="F10" s="105" t="s">
        <v>1738</v>
      </c>
      <c r="G10" s="64" t="s">
        <v>1739</v>
      </c>
    </row>
    <row r="11" spans="1:7" ht="90" customHeight="1" x14ac:dyDescent="0.35">
      <c r="A11" s="65" t="s">
        <v>600</v>
      </c>
      <c r="B11" s="60" t="s">
        <v>460</v>
      </c>
      <c r="C11" s="60" t="s">
        <v>601</v>
      </c>
      <c r="D11" s="60" t="s">
        <v>204</v>
      </c>
      <c r="E11" s="60" t="s">
        <v>1742</v>
      </c>
      <c r="F11" s="60" t="s">
        <v>1741</v>
      </c>
      <c r="G11" s="66" t="s">
        <v>1740</v>
      </c>
    </row>
    <row r="12" spans="1:7" ht="90" customHeight="1" x14ac:dyDescent="0.35">
      <c r="A12" s="63" t="s">
        <v>602</v>
      </c>
      <c r="B12" s="59" t="s">
        <v>470</v>
      </c>
      <c r="C12" s="59" t="s">
        <v>603</v>
      </c>
      <c r="D12" s="59" t="s">
        <v>198</v>
      </c>
      <c r="E12" s="59" t="s">
        <v>1838</v>
      </c>
      <c r="F12" s="59" t="s">
        <v>1743</v>
      </c>
      <c r="G12" s="64" t="s">
        <v>1744</v>
      </c>
    </row>
    <row r="13" spans="1:7" ht="90" customHeight="1" x14ac:dyDescent="0.35">
      <c r="A13" s="65" t="s">
        <v>604</v>
      </c>
      <c r="B13" s="60" t="s">
        <v>470</v>
      </c>
      <c r="C13" s="60" t="s">
        <v>601</v>
      </c>
      <c r="D13" s="60" t="s">
        <v>204</v>
      </c>
      <c r="E13" s="60" t="s">
        <v>1747</v>
      </c>
      <c r="F13" s="60" t="s">
        <v>1746</v>
      </c>
      <c r="G13" s="66" t="s">
        <v>1745</v>
      </c>
    </row>
    <row r="14" spans="1:7" ht="90" customHeight="1" x14ac:dyDescent="0.35">
      <c r="A14" s="63" t="s">
        <v>605</v>
      </c>
      <c r="B14" s="59" t="s">
        <v>474</v>
      </c>
      <c r="C14" s="59" t="s">
        <v>606</v>
      </c>
      <c r="D14" s="59" t="s">
        <v>198</v>
      </c>
      <c r="E14" s="59" t="s">
        <v>1748</v>
      </c>
      <c r="F14" s="59" t="s">
        <v>1749</v>
      </c>
      <c r="G14" s="64" t="s">
        <v>1750</v>
      </c>
    </row>
    <row r="15" spans="1:7" ht="90" customHeight="1" x14ac:dyDescent="0.35">
      <c r="A15" s="65" t="s">
        <v>607</v>
      </c>
      <c r="B15" s="60" t="s">
        <v>474</v>
      </c>
      <c r="C15" s="60" t="s">
        <v>608</v>
      </c>
      <c r="D15" s="60" t="s">
        <v>192</v>
      </c>
      <c r="E15" s="60" t="s">
        <v>1753</v>
      </c>
      <c r="F15" s="60" t="s">
        <v>1752</v>
      </c>
      <c r="G15" s="66" t="s">
        <v>1751</v>
      </c>
    </row>
    <row r="16" spans="1:7" ht="90" customHeight="1" x14ac:dyDescent="0.35">
      <c r="A16" s="107" t="s">
        <v>609</v>
      </c>
      <c r="B16" s="59" t="s">
        <v>474</v>
      </c>
      <c r="C16" s="59" t="s">
        <v>610</v>
      </c>
      <c r="D16" s="59" t="s">
        <v>204</v>
      </c>
      <c r="E16" s="59" t="s">
        <v>1754</v>
      </c>
      <c r="F16" s="59" t="s">
        <v>1755</v>
      </c>
      <c r="G16" s="64" t="s">
        <v>1756</v>
      </c>
    </row>
    <row r="17" spans="1:7" ht="90" customHeight="1" x14ac:dyDescent="0.35">
      <c r="A17" s="65" t="s">
        <v>611</v>
      </c>
      <c r="B17" s="60" t="s">
        <v>480</v>
      </c>
      <c r="C17" s="60" t="s">
        <v>612</v>
      </c>
      <c r="D17" s="60" t="s">
        <v>204</v>
      </c>
      <c r="E17" s="60" t="s">
        <v>1759</v>
      </c>
      <c r="F17" s="60" t="s">
        <v>1758</v>
      </c>
      <c r="G17" s="66" t="s">
        <v>1757</v>
      </c>
    </row>
    <row r="18" spans="1:7" ht="90" customHeight="1" x14ac:dyDescent="0.35">
      <c r="A18" s="63" t="s">
        <v>613</v>
      </c>
      <c r="B18" s="59" t="s">
        <v>480</v>
      </c>
      <c r="C18" s="59" t="s">
        <v>614</v>
      </c>
      <c r="D18" s="59" t="s">
        <v>198</v>
      </c>
      <c r="E18" s="59" t="s">
        <v>1760</v>
      </c>
      <c r="F18" s="59" t="s">
        <v>1761</v>
      </c>
      <c r="G18" s="64" t="s">
        <v>1843</v>
      </c>
    </row>
    <row r="19" spans="1:7" ht="90" customHeight="1" x14ac:dyDescent="0.35">
      <c r="A19" s="65" t="s">
        <v>615</v>
      </c>
      <c r="B19" s="60" t="s">
        <v>616</v>
      </c>
      <c r="C19" s="60" t="s">
        <v>540</v>
      </c>
      <c r="D19" s="60" t="s">
        <v>198</v>
      </c>
      <c r="E19" s="60" t="s">
        <v>1763</v>
      </c>
      <c r="F19" s="60" t="s">
        <v>1762</v>
      </c>
      <c r="G19" s="66" t="s">
        <v>617</v>
      </c>
    </row>
    <row r="20" spans="1:7" ht="90" customHeight="1" x14ac:dyDescent="0.35">
      <c r="A20" s="63" t="s">
        <v>618</v>
      </c>
      <c r="B20" s="59" t="s">
        <v>539</v>
      </c>
      <c r="C20" s="59" t="s">
        <v>619</v>
      </c>
      <c r="D20" s="59" t="s">
        <v>204</v>
      </c>
      <c r="E20" s="59" t="s">
        <v>1764</v>
      </c>
      <c r="F20" s="105" t="s">
        <v>1842</v>
      </c>
      <c r="G20" s="64" t="s">
        <v>1765</v>
      </c>
    </row>
    <row r="21" spans="1:7" ht="90" customHeight="1" x14ac:dyDescent="0.35">
      <c r="A21" s="65" t="s">
        <v>620</v>
      </c>
      <c r="B21" s="60" t="s">
        <v>621</v>
      </c>
      <c r="C21" s="60" t="s">
        <v>540</v>
      </c>
      <c r="D21" s="60" t="s">
        <v>198</v>
      </c>
      <c r="E21" s="60" t="s">
        <v>1768</v>
      </c>
      <c r="F21" s="60" t="s">
        <v>1767</v>
      </c>
      <c r="G21" s="66" t="s">
        <v>1766</v>
      </c>
    </row>
    <row r="22" spans="1:7" ht="90" customHeight="1" x14ac:dyDescent="0.35">
      <c r="A22" s="63" t="s">
        <v>622</v>
      </c>
      <c r="B22" s="59" t="s">
        <v>623</v>
      </c>
      <c r="C22" s="59" t="s">
        <v>540</v>
      </c>
      <c r="D22" s="59" t="s">
        <v>198</v>
      </c>
      <c r="E22" s="59" t="s">
        <v>1769</v>
      </c>
      <c r="F22" s="59" t="s">
        <v>1770</v>
      </c>
      <c r="G22" s="64" t="s">
        <v>1771</v>
      </c>
    </row>
    <row r="23" spans="1:7" ht="90" customHeight="1" x14ac:dyDescent="0.35">
      <c r="A23" s="63" t="s">
        <v>624</v>
      </c>
      <c r="B23" s="59" t="s">
        <v>584</v>
      </c>
      <c r="C23" s="59" t="s">
        <v>625</v>
      </c>
      <c r="D23" s="59" t="s">
        <v>201</v>
      </c>
      <c r="E23" s="59" t="s">
        <v>1774</v>
      </c>
      <c r="F23" s="59" t="s">
        <v>1773</v>
      </c>
      <c r="G23" s="64" t="s">
        <v>1772</v>
      </c>
    </row>
    <row r="24" spans="1:7" x14ac:dyDescent="0.35">
      <c r="A24" s="276" t="s">
        <v>626</v>
      </c>
      <c r="B24" s="205"/>
      <c r="C24" s="205"/>
      <c r="D24" s="205"/>
      <c r="E24" s="205"/>
      <c r="F24" s="205"/>
      <c r="G24" s="206"/>
    </row>
  </sheetData>
  <mergeCells count="3">
    <mergeCell ref="A24:G24"/>
    <mergeCell ref="A2:G2"/>
    <mergeCell ref="A1:G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selection sqref="A1:F1"/>
    </sheetView>
  </sheetViews>
  <sheetFormatPr defaultRowHeight="14.5" x14ac:dyDescent="0.35"/>
  <cols>
    <col min="1" max="3" width="22" customWidth="1"/>
    <col min="4" max="4" width="30" customWidth="1"/>
    <col min="5" max="5" width="26" customWidth="1"/>
    <col min="6" max="6" width="62" customWidth="1"/>
  </cols>
  <sheetData>
    <row r="1" spans="1:6" ht="30" customHeight="1" x14ac:dyDescent="0.35">
      <c r="A1" s="286" t="s">
        <v>374</v>
      </c>
      <c r="B1" s="182"/>
      <c r="C1" s="182"/>
      <c r="D1" s="182"/>
      <c r="E1" s="182"/>
      <c r="F1" s="182"/>
    </row>
    <row r="2" spans="1:6" ht="40" customHeight="1" x14ac:dyDescent="0.35">
      <c r="A2" s="283" t="s">
        <v>375</v>
      </c>
      <c r="B2" s="182"/>
      <c r="C2" s="182"/>
      <c r="D2" s="182"/>
      <c r="E2" s="182"/>
      <c r="F2" s="182"/>
    </row>
    <row r="3" spans="1:6" ht="22" customHeight="1" x14ac:dyDescent="0.35">
      <c r="A3" s="57" t="s">
        <v>376</v>
      </c>
      <c r="B3" s="57" t="s">
        <v>377</v>
      </c>
      <c r="C3" s="57" t="s">
        <v>378</v>
      </c>
      <c r="D3" s="57" t="s">
        <v>379</v>
      </c>
      <c r="E3" s="57" t="s">
        <v>380</v>
      </c>
      <c r="F3" s="57" t="s">
        <v>381</v>
      </c>
    </row>
    <row r="4" spans="1:6" ht="22" customHeight="1" x14ac:dyDescent="0.35">
      <c r="A4" s="284" t="s">
        <v>382</v>
      </c>
      <c r="B4" s="200"/>
      <c r="C4" s="200"/>
      <c r="D4" s="200"/>
      <c r="E4" s="200"/>
      <c r="F4" s="201"/>
    </row>
    <row r="5" spans="1:6" ht="65" customHeight="1" x14ac:dyDescent="0.35">
      <c r="A5" s="27" t="s">
        <v>192</v>
      </c>
      <c r="B5" s="27" t="s">
        <v>383</v>
      </c>
      <c r="C5" s="27" t="s">
        <v>384</v>
      </c>
      <c r="D5" s="27" t="s">
        <v>385</v>
      </c>
      <c r="E5" s="27" t="s">
        <v>386</v>
      </c>
      <c r="F5" s="27" t="s">
        <v>387</v>
      </c>
    </row>
    <row r="6" spans="1:6" ht="65" customHeight="1" x14ac:dyDescent="0.35">
      <c r="A6" s="30" t="s">
        <v>192</v>
      </c>
      <c r="B6" s="30" t="s">
        <v>383</v>
      </c>
      <c r="C6" s="30" t="s">
        <v>388</v>
      </c>
      <c r="D6" s="30" t="s">
        <v>385</v>
      </c>
      <c r="E6" s="30" t="s">
        <v>386</v>
      </c>
      <c r="F6" s="30" t="s">
        <v>389</v>
      </c>
    </row>
    <row r="7" spans="1:6" ht="65" customHeight="1" x14ac:dyDescent="0.35">
      <c r="A7" s="27" t="s">
        <v>192</v>
      </c>
      <c r="B7" s="27" t="s">
        <v>390</v>
      </c>
      <c r="C7" s="27" t="s">
        <v>391</v>
      </c>
      <c r="D7" s="27" t="s">
        <v>392</v>
      </c>
      <c r="E7" s="27" t="s">
        <v>393</v>
      </c>
      <c r="F7" s="27" t="s">
        <v>394</v>
      </c>
    </row>
    <row r="8" spans="1:6" ht="65" customHeight="1" x14ac:dyDescent="0.35">
      <c r="A8" s="30" t="s">
        <v>192</v>
      </c>
      <c r="B8" s="30" t="s">
        <v>390</v>
      </c>
      <c r="C8" s="30" t="s">
        <v>395</v>
      </c>
      <c r="D8" s="30" t="s">
        <v>392</v>
      </c>
      <c r="E8" s="30" t="s">
        <v>393</v>
      </c>
      <c r="F8" s="30" t="s">
        <v>396</v>
      </c>
    </row>
    <row r="9" spans="1:6" ht="65" customHeight="1" x14ac:dyDescent="0.35">
      <c r="A9" s="27" t="s">
        <v>192</v>
      </c>
      <c r="B9" s="27" t="s">
        <v>383</v>
      </c>
      <c r="C9" s="27" t="s">
        <v>397</v>
      </c>
      <c r="D9" s="27" t="s">
        <v>385</v>
      </c>
      <c r="E9" s="27" t="s">
        <v>386</v>
      </c>
      <c r="F9" s="27" t="s">
        <v>398</v>
      </c>
    </row>
    <row r="10" spans="1:6" ht="22" customHeight="1" x14ac:dyDescent="0.35">
      <c r="A10" s="284" t="s">
        <v>399</v>
      </c>
      <c r="B10" s="200"/>
      <c r="C10" s="200"/>
      <c r="D10" s="200"/>
      <c r="E10" s="200"/>
      <c r="F10" s="201"/>
    </row>
    <row r="11" spans="1:6" ht="65" customHeight="1" x14ac:dyDescent="0.35">
      <c r="A11" s="27" t="s">
        <v>195</v>
      </c>
      <c r="B11" s="27" t="s">
        <v>383</v>
      </c>
      <c r="C11" s="27" t="s">
        <v>384</v>
      </c>
      <c r="D11" s="27" t="s">
        <v>385</v>
      </c>
      <c r="E11" s="27" t="s">
        <v>400</v>
      </c>
      <c r="F11" s="27" t="s">
        <v>401</v>
      </c>
    </row>
    <row r="12" spans="1:6" ht="65" customHeight="1" x14ac:dyDescent="0.35">
      <c r="A12" s="30" t="s">
        <v>195</v>
      </c>
      <c r="B12" s="30" t="s">
        <v>383</v>
      </c>
      <c r="C12" s="30" t="s">
        <v>388</v>
      </c>
      <c r="D12" s="30" t="s">
        <v>385</v>
      </c>
      <c r="E12" s="30" t="s">
        <v>400</v>
      </c>
      <c r="F12" s="30" t="s">
        <v>402</v>
      </c>
    </row>
    <row r="13" spans="1:6" ht="65" customHeight="1" x14ac:dyDescent="0.35">
      <c r="A13" s="27" t="s">
        <v>403</v>
      </c>
      <c r="B13" s="27" t="s">
        <v>390</v>
      </c>
      <c r="C13" s="27" t="s">
        <v>391</v>
      </c>
      <c r="D13" s="27" t="s">
        <v>392</v>
      </c>
      <c r="E13" s="27" t="s">
        <v>192</v>
      </c>
      <c r="F13" s="27" t="s">
        <v>404</v>
      </c>
    </row>
    <row r="14" spans="1:6" ht="65" customHeight="1" x14ac:dyDescent="0.35">
      <c r="A14" s="30" t="s">
        <v>403</v>
      </c>
      <c r="B14" s="30" t="s">
        <v>395</v>
      </c>
      <c r="C14" s="30" t="s">
        <v>390</v>
      </c>
      <c r="D14" s="30" t="s">
        <v>392</v>
      </c>
      <c r="E14" s="30" t="s">
        <v>192</v>
      </c>
      <c r="F14" s="30" t="s">
        <v>405</v>
      </c>
    </row>
    <row r="15" spans="1:6" ht="65" customHeight="1" x14ac:dyDescent="0.35">
      <c r="A15" s="27" t="s">
        <v>195</v>
      </c>
      <c r="B15" s="27" t="s">
        <v>406</v>
      </c>
      <c r="C15" s="27" t="s">
        <v>390</v>
      </c>
      <c r="D15" s="27" t="s">
        <v>407</v>
      </c>
      <c r="E15" s="27" t="s">
        <v>192</v>
      </c>
      <c r="F15" s="27" t="s">
        <v>408</v>
      </c>
    </row>
    <row r="16" spans="1:6" ht="22" customHeight="1" x14ac:dyDescent="0.35">
      <c r="A16" s="284" t="s">
        <v>409</v>
      </c>
      <c r="B16" s="200"/>
      <c r="C16" s="200"/>
      <c r="D16" s="200"/>
      <c r="E16" s="200"/>
      <c r="F16" s="201"/>
    </row>
    <row r="17" spans="1:6" ht="65" customHeight="1" x14ac:dyDescent="0.35">
      <c r="A17" s="27" t="s">
        <v>198</v>
      </c>
      <c r="B17" s="27" t="s">
        <v>383</v>
      </c>
      <c r="C17" s="27" t="s">
        <v>384</v>
      </c>
      <c r="D17" s="27" t="s">
        <v>385</v>
      </c>
      <c r="E17" s="27" t="s">
        <v>410</v>
      </c>
      <c r="F17" s="27" t="s">
        <v>411</v>
      </c>
    </row>
    <row r="18" spans="1:6" ht="65" customHeight="1" x14ac:dyDescent="0.35">
      <c r="A18" s="30" t="s">
        <v>198</v>
      </c>
      <c r="B18" s="30" t="s">
        <v>383</v>
      </c>
      <c r="C18" s="30" t="s">
        <v>388</v>
      </c>
      <c r="D18" s="30" t="s">
        <v>385</v>
      </c>
      <c r="E18" s="30" t="s">
        <v>410</v>
      </c>
      <c r="F18" s="30" t="s">
        <v>412</v>
      </c>
    </row>
    <row r="19" spans="1:6" ht="65" customHeight="1" x14ac:dyDescent="0.35">
      <c r="A19" s="27" t="s">
        <v>198</v>
      </c>
      <c r="B19" s="27" t="s">
        <v>406</v>
      </c>
      <c r="C19" s="27" t="s">
        <v>390</v>
      </c>
      <c r="D19" s="27" t="s">
        <v>407</v>
      </c>
      <c r="E19" s="27" t="s">
        <v>413</v>
      </c>
      <c r="F19" s="27" t="s">
        <v>414</v>
      </c>
    </row>
    <row r="20" spans="1:6" ht="65" customHeight="1" x14ac:dyDescent="0.35">
      <c r="A20" s="30" t="s">
        <v>198</v>
      </c>
      <c r="B20" s="30" t="s">
        <v>406</v>
      </c>
      <c r="C20" s="30" t="s">
        <v>391</v>
      </c>
      <c r="D20" s="30" t="s">
        <v>407</v>
      </c>
      <c r="E20" s="30" t="s">
        <v>415</v>
      </c>
      <c r="F20" s="30" t="s">
        <v>416</v>
      </c>
    </row>
    <row r="21" spans="1:6" ht="65" customHeight="1" x14ac:dyDescent="0.35">
      <c r="A21" s="27" t="s">
        <v>417</v>
      </c>
      <c r="B21" s="27" t="s">
        <v>390</v>
      </c>
      <c r="C21" s="27" t="s">
        <v>391</v>
      </c>
      <c r="D21" s="27" t="s">
        <v>418</v>
      </c>
      <c r="E21" s="27" t="s">
        <v>413</v>
      </c>
      <c r="F21" s="27" t="s">
        <v>419</v>
      </c>
    </row>
    <row r="22" spans="1:6" ht="65" customHeight="1" x14ac:dyDescent="0.35">
      <c r="A22" s="30" t="s">
        <v>198</v>
      </c>
      <c r="B22" s="30" t="s">
        <v>384</v>
      </c>
      <c r="C22" s="30" t="s">
        <v>388</v>
      </c>
      <c r="D22" s="30" t="s">
        <v>385</v>
      </c>
      <c r="E22" s="30" t="s">
        <v>410</v>
      </c>
      <c r="F22" s="30" t="s">
        <v>420</v>
      </c>
    </row>
    <row r="23" spans="1:6" ht="22" customHeight="1" x14ac:dyDescent="0.35">
      <c r="A23" s="287" t="s">
        <v>421</v>
      </c>
      <c r="B23" s="200"/>
      <c r="C23" s="200"/>
      <c r="D23" s="200"/>
      <c r="E23" s="200"/>
      <c r="F23" s="201"/>
    </row>
    <row r="24" spans="1:6" ht="65" customHeight="1" x14ac:dyDescent="0.35">
      <c r="A24" s="27" t="s">
        <v>201</v>
      </c>
      <c r="B24" s="27" t="s">
        <v>406</v>
      </c>
      <c r="C24" s="27" t="s">
        <v>390</v>
      </c>
      <c r="D24" s="27" t="s">
        <v>385</v>
      </c>
      <c r="E24" s="27" t="s">
        <v>198</v>
      </c>
      <c r="F24" s="27" t="s">
        <v>422</v>
      </c>
    </row>
    <row r="25" spans="1:6" ht="65" customHeight="1" x14ac:dyDescent="0.35">
      <c r="A25" s="30" t="s">
        <v>201</v>
      </c>
      <c r="B25" s="30" t="s">
        <v>406</v>
      </c>
      <c r="C25" s="30" t="s">
        <v>391</v>
      </c>
      <c r="D25" s="30" t="s">
        <v>385</v>
      </c>
      <c r="E25" s="30" t="s">
        <v>198</v>
      </c>
      <c r="F25" s="30" t="s">
        <v>423</v>
      </c>
    </row>
    <row r="26" spans="1:6" ht="65" customHeight="1" x14ac:dyDescent="0.35">
      <c r="A26" s="27" t="s">
        <v>201</v>
      </c>
      <c r="B26" s="27" t="s">
        <v>383</v>
      </c>
      <c r="C26" s="27" t="s">
        <v>384</v>
      </c>
      <c r="D26" s="27" t="s">
        <v>385</v>
      </c>
      <c r="E26" s="27" t="s">
        <v>204</v>
      </c>
      <c r="F26" s="27" t="s">
        <v>424</v>
      </c>
    </row>
    <row r="27" spans="1:6" ht="65" customHeight="1" x14ac:dyDescent="0.35">
      <c r="A27" s="30" t="s">
        <v>201</v>
      </c>
      <c r="B27" s="30" t="s">
        <v>383</v>
      </c>
      <c r="C27" s="30" t="s">
        <v>388</v>
      </c>
      <c r="D27" s="30" t="s">
        <v>385</v>
      </c>
      <c r="E27" s="30" t="s">
        <v>204</v>
      </c>
      <c r="F27" s="30" t="s">
        <v>425</v>
      </c>
    </row>
    <row r="28" spans="1:6" ht="65" customHeight="1" x14ac:dyDescent="0.35">
      <c r="A28" s="27" t="s">
        <v>426</v>
      </c>
      <c r="B28" s="27" t="s">
        <v>390</v>
      </c>
      <c r="C28" s="27" t="s">
        <v>391</v>
      </c>
      <c r="D28" s="27" t="s">
        <v>385</v>
      </c>
      <c r="E28" s="27" t="s">
        <v>427</v>
      </c>
      <c r="F28" s="27" t="s">
        <v>428</v>
      </c>
    </row>
    <row r="29" spans="1:6" ht="22" customHeight="1" x14ac:dyDescent="0.35">
      <c r="A29" s="288" t="s">
        <v>429</v>
      </c>
      <c r="B29" s="200"/>
      <c r="C29" s="200"/>
      <c r="D29" s="200"/>
      <c r="E29" s="200"/>
      <c r="F29" s="201"/>
    </row>
    <row r="30" spans="1:6" ht="65" customHeight="1" x14ac:dyDescent="0.35">
      <c r="A30" s="27" t="s">
        <v>204</v>
      </c>
      <c r="B30" s="27" t="s">
        <v>406</v>
      </c>
      <c r="C30" s="27" t="s">
        <v>390</v>
      </c>
      <c r="D30" s="27" t="s">
        <v>385</v>
      </c>
      <c r="E30" s="27" t="s">
        <v>430</v>
      </c>
      <c r="F30" s="27" t="s">
        <v>431</v>
      </c>
    </row>
    <row r="31" spans="1:6" ht="65" customHeight="1" x14ac:dyDescent="0.35">
      <c r="A31" s="30" t="s">
        <v>204</v>
      </c>
      <c r="B31" s="30" t="s">
        <v>406</v>
      </c>
      <c r="C31" s="30" t="s">
        <v>391</v>
      </c>
      <c r="D31" s="30" t="s">
        <v>385</v>
      </c>
      <c r="E31" s="30" t="s">
        <v>430</v>
      </c>
      <c r="F31" s="30" t="s">
        <v>432</v>
      </c>
    </row>
    <row r="32" spans="1:6" ht="65" customHeight="1" x14ac:dyDescent="0.35">
      <c r="A32" s="27" t="s">
        <v>433</v>
      </c>
      <c r="B32" s="27" t="s">
        <v>390</v>
      </c>
      <c r="C32" s="27" t="s">
        <v>391</v>
      </c>
      <c r="D32" s="27" t="s">
        <v>385</v>
      </c>
      <c r="E32" s="27" t="s">
        <v>201</v>
      </c>
      <c r="F32" s="27" t="s">
        <v>434</v>
      </c>
    </row>
    <row r="33" spans="1:6" ht="65" customHeight="1" x14ac:dyDescent="0.35">
      <c r="A33" s="30" t="s">
        <v>204</v>
      </c>
      <c r="B33" s="30" t="s">
        <v>384</v>
      </c>
      <c r="C33" s="30" t="s">
        <v>388</v>
      </c>
      <c r="D33" s="30" t="s">
        <v>385</v>
      </c>
      <c r="E33" s="30" t="s">
        <v>435</v>
      </c>
      <c r="F33" s="30" t="s">
        <v>436</v>
      </c>
    </row>
    <row r="34" spans="1:6" ht="65" customHeight="1" x14ac:dyDescent="0.35">
      <c r="A34" s="27" t="s">
        <v>204</v>
      </c>
      <c r="B34" s="27" t="s">
        <v>383</v>
      </c>
      <c r="C34" s="27" t="s">
        <v>384</v>
      </c>
      <c r="D34" s="27" t="s">
        <v>385</v>
      </c>
      <c r="E34" s="27" t="s">
        <v>437</v>
      </c>
      <c r="F34" s="27" t="s">
        <v>438</v>
      </c>
    </row>
    <row r="35" spans="1:6" ht="65" customHeight="1" x14ac:dyDescent="0.35">
      <c r="A35" s="30" t="s">
        <v>439</v>
      </c>
      <c r="B35" s="30" t="s">
        <v>391</v>
      </c>
      <c r="C35" s="30" t="s">
        <v>395</v>
      </c>
      <c r="D35" s="30" t="s">
        <v>385</v>
      </c>
      <c r="E35" s="30" t="s">
        <v>430</v>
      </c>
      <c r="F35" s="30" t="s">
        <v>440</v>
      </c>
    </row>
    <row r="36" spans="1:6" ht="50" customHeight="1" x14ac:dyDescent="0.35">
      <c r="A36" s="285" t="s">
        <v>441</v>
      </c>
      <c r="B36" s="200"/>
      <c r="C36" s="200"/>
      <c r="D36" s="200"/>
      <c r="E36" s="200"/>
      <c r="F36" s="201"/>
    </row>
  </sheetData>
  <mergeCells count="8">
    <mergeCell ref="A2:F2"/>
    <mergeCell ref="A16:F16"/>
    <mergeCell ref="A10:F10"/>
    <mergeCell ref="A36:F36"/>
    <mergeCell ref="A1:F1"/>
    <mergeCell ref="A23:F23"/>
    <mergeCell ref="A4:F4"/>
    <mergeCell ref="A29:F29"/>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1"/>
  <sheetViews>
    <sheetView workbookViewId="0">
      <selection sqref="A1:F1"/>
    </sheetView>
  </sheetViews>
  <sheetFormatPr defaultRowHeight="14.5" x14ac:dyDescent="0.35"/>
  <cols>
    <col min="1" max="1" width="22" customWidth="1"/>
    <col min="2" max="2" width="18" customWidth="1"/>
    <col min="3" max="3" width="55" customWidth="1"/>
    <col min="4" max="4" width="30" customWidth="1"/>
    <col min="5" max="5" width="55" customWidth="1"/>
    <col min="6" max="6" width="28" customWidth="1"/>
  </cols>
  <sheetData>
    <row r="1" spans="1:6" ht="22" customHeight="1" x14ac:dyDescent="0.35">
      <c r="A1" s="289" t="s">
        <v>627</v>
      </c>
      <c r="B1" s="223"/>
      <c r="C1" s="223"/>
      <c r="D1" s="223"/>
      <c r="E1" s="223"/>
      <c r="F1" s="224"/>
    </row>
    <row r="2" spans="1:6" ht="18" customHeight="1" x14ac:dyDescent="0.35">
      <c r="A2" s="70" t="s">
        <v>1</v>
      </c>
      <c r="B2" s="58" t="s">
        <v>628</v>
      </c>
      <c r="C2" s="58" t="s">
        <v>2</v>
      </c>
      <c r="D2" s="58" t="s">
        <v>629</v>
      </c>
      <c r="E2" s="58" t="s">
        <v>3</v>
      </c>
      <c r="F2" s="71" t="s">
        <v>630</v>
      </c>
    </row>
    <row r="3" spans="1:6" ht="60" customHeight="1" x14ac:dyDescent="0.35">
      <c r="A3" s="26" t="s">
        <v>631</v>
      </c>
      <c r="B3" s="27" t="s">
        <v>5</v>
      </c>
      <c r="C3" s="27" t="s">
        <v>632</v>
      </c>
      <c r="D3" s="27" t="s">
        <v>633</v>
      </c>
      <c r="E3" s="27" t="s">
        <v>634</v>
      </c>
      <c r="F3" s="28" t="s">
        <v>635</v>
      </c>
    </row>
    <row r="4" spans="1:6" ht="60" customHeight="1" x14ac:dyDescent="0.35">
      <c r="A4" s="29" t="s">
        <v>636</v>
      </c>
      <c r="B4" s="30" t="s">
        <v>8</v>
      </c>
      <c r="C4" s="30" t="s">
        <v>637</v>
      </c>
      <c r="D4" s="30" t="s">
        <v>638</v>
      </c>
      <c r="E4" s="30" t="s">
        <v>639</v>
      </c>
      <c r="F4" s="31" t="s">
        <v>640</v>
      </c>
    </row>
    <row r="5" spans="1:6" ht="60" customHeight="1" x14ac:dyDescent="0.35">
      <c r="A5" s="26" t="s">
        <v>641</v>
      </c>
      <c r="B5" s="27" t="s">
        <v>11</v>
      </c>
      <c r="C5" s="27" t="s">
        <v>642</v>
      </c>
      <c r="D5" s="27" t="s">
        <v>638</v>
      </c>
      <c r="E5" s="27" t="s">
        <v>643</v>
      </c>
      <c r="F5" s="28" t="s">
        <v>640</v>
      </c>
    </row>
    <row r="6" spans="1:6" ht="60" customHeight="1" x14ac:dyDescent="0.35">
      <c r="A6" s="29" t="s">
        <v>644</v>
      </c>
      <c r="B6" s="30" t="s">
        <v>14</v>
      </c>
      <c r="C6" s="30" t="s">
        <v>645</v>
      </c>
      <c r="D6" s="30" t="s">
        <v>646</v>
      </c>
      <c r="E6" s="30" t="s">
        <v>647</v>
      </c>
      <c r="F6" s="31" t="s">
        <v>648</v>
      </c>
    </row>
    <row r="7" spans="1:6" ht="60" customHeight="1" x14ac:dyDescent="0.35">
      <c r="A7" s="26" t="s">
        <v>649</v>
      </c>
      <c r="B7" s="27" t="s">
        <v>17</v>
      </c>
      <c r="C7" s="27" t="s">
        <v>650</v>
      </c>
      <c r="D7" s="27" t="s">
        <v>646</v>
      </c>
      <c r="E7" s="27" t="s">
        <v>651</v>
      </c>
      <c r="F7" s="28" t="s">
        <v>648</v>
      </c>
    </row>
    <row r="8" spans="1:6" ht="60" customHeight="1" x14ac:dyDescent="0.35">
      <c r="A8" s="29" t="s">
        <v>652</v>
      </c>
      <c r="B8" s="30" t="s">
        <v>653</v>
      </c>
      <c r="C8" s="30" t="s">
        <v>654</v>
      </c>
      <c r="D8" s="30" t="s">
        <v>646</v>
      </c>
      <c r="E8" s="30" t="s">
        <v>655</v>
      </c>
      <c r="F8" s="31" t="s">
        <v>656</v>
      </c>
    </row>
    <row r="9" spans="1:6" ht="60" customHeight="1" x14ac:dyDescent="0.35">
      <c r="A9" s="26" t="s">
        <v>657</v>
      </c>
      <c r="B9" s="27" t="s">
        <v>212</v>
      </c>
      <c r="C9" s="27" t="s">
        <v>658</v>
      </c>
      <c r="D9" s="27" t="s">
        <v>659</v>
      </c>
      <c r="E9" s="27" t="s">
        <v>660</v>
      </c>
      <c r="F9" s="28" t="s">
        <v>661</v>
      </c>
    </row>
    <row r="10" spans="1:6" ht="60" customHeight="1" x14ac:dyDescent="0.35">
      <c r="A10" s="29" t="s">
        <v>662</v>
      </c>
      <c r="B10" s="30" t="s">
        <v>215</v>
      </c>
      <c r="C10" s="30" t="s">
        <v>663</v>
      </c>
      <c r="D10" s="30" t="s">
        <v>664</v>
      </c>
      <c r="E10" s="30" t="s">
        <v>665</v>
      </c>
      <c r="F10" s="31" t="s">
        <v>661</v>
      </c>
    </row>
    <row r="11" spans="1:6" ht="60" customHeight="1" x14ac:dyDescent="0.35">
      <c r="A11" s="26" t="s">
        <v>666</v>
      </c>
      <c r="B11" s="27" t="s">
        <v>218</v>
      </c>
      <c r="C11" s="27" t="s">
        <v>667</v>
      </c>
      <c r="D11" s="27" t="s">
        <v>664</v>
      </c>
      <c r="E11" s="27" t="s">
        <v>668</v>
      </c>
      <c r="F11" s="28" t="s">
        <v>661</v>
      </c>
    </row>
    <row r="12" spans="1:6" ht="60" customHeight="1" x14ac:dyDescent="0.35">
      <c r="A12" s="72" t="s">
        <v>669</v>
      </c>
      <c r="B12" s="73" t="s">
        <v>221</v>
      </c>
      <c r="C12" s="73" t="s">
        <v>670</v>
      </c>
      <c r="D12" s="73" t="s">
        <v>664</v>
      </c>
      <c r="E12" s="73" t="s">
        <v>671</v>
      </c>
      <c r="F12" s="74" t="s">
        <v>661</v>
      </c>
    </row>
    <row r="14" spans="1:6" ht="22" customHeight="1" x14ac:dyDescent="0.35">
      <c r="A14" s="289" t="s">
        <v>672</v>
      </c>
      <c r="B14" s="223"/>
      <c r="C14" s="223"/>
      <c r="D14" s="223"/>
      <c r="E14" s="223"/>
      <c r="F14" s="224"/>
    </row>
    <row r="15" spans="1:6" ht="18" customHeight="1" x14ac:dyDescent="0.35">
      <c r="A15" s="70" t="s">
        <v>21</v>
      </c>
      <c r="B15" s="58" t="s">
        <v>322</v>
      </c>
      <c r="C15" s="58" t="s">
        <v>673</v>
      </c>
      <c r="D15" s="58" t="s">
        <v>674</v>
      </c>
      <c r="E15" s="58" t="s">
        <v>675</v>
      </c>
      <c r="F15" s="71" t="s">
        <v>676</v>
      </c>
    </row>
    <row r="16" spans="1:6" ht="60" customHeight="1" x14ac:dyDescent="0.35">
      <c r="A16" s="26" t="s">
        <v>460</v>
      </c>
      <c r="B16" s="27" t="s">
        <v>677</v>
      </c>
      <c r="C16" s="27" t="s">
        <v>678</v>
      </c>
      <c r="D16" s="27" t="s">
        <v>679</v>
      </c>
      <c r="E16" s="27" t="s">
        <v>680</v>
      </c>
      <c r="F16" s="28" t="s">
        <v>681</v>
      </c>
    </row>
    <row r="17" spans="1:6" ht="60" customHeight="1" x14ac:dyDescent="0.35">
      <c r="A17" s="29" t="s">
        <v>460</v>
      </c>
      <c r="B17" s="30" t="s">
        <v>682</v>
      </c>
      <c r="C17" s="30" t="s">
        <v>683</v>
      </c>
      <c r="D17" s="30" t="s">
        <v>684</v>
      </c>
      <c r="E17" s="30" t="s">
        <v>685</v>
      </c>
      <c r="F17" s="31" t="s">
        <v>686</v>
      </c>
    </row>
    <row r="18" spans="1:6" ht="60" customHeight="1" x14ac:dyDescent="0.35">
      <c r="A18" s="26" t="s">
        <v>470</v>
      </c>
      <c r="B18" s="27" t="s">
        <v>677</v>
      </c>
      <c r="C18" s="27" t="s">
        <v>687</v>
      </c>
      <c r="D18" s="27" t="s">
        <v>688</v>
      </c>
      <c r="E18" s="27" t="s">
        <v>689</v>
      </c>
      <c r="F18" s="28" t="s">
        <v>690</v>
      </c>
    </row>
    <row r="19" spans="1:6" ht="60" customHeight="1" x14ac:dyDescent="0.35">
      <c r="A19" s="29" t="s">
        <v>470</v>
      </c>
      <c r="B19" s="30" t="s">
        <v>682</v>
      </c>
      <c r="C19" s="30" t="s">
        <v>683</v>
      </c>
      <c r="D19" s="30" t="s">
        <v>684</v>
      </c>
      <c r="E19" s="30" t="s">
        <v>691</v>
      </c>
      <c r="F19" s="31" t="s">
        <v>692</v>
      </c>
    </row>
    <row r="20" spans="1:6" ht="60" customHeight="1" x14ac:dyDescent="0.35">
      <c r="A20" s="26" t="s">
        <v>474</v>
      </c>
      <c r="B20" s="27" t="s">
        <v>693</v>
      </c>
      <c r="C20" s="27" t="s">
        <v>694</v>
      </c>
      <c r="D20" s="27" t="s">
        <v>695</v>
      </c>
      <c r="E20" s="27" t="s">
        <v>696</v>
      </c>
      <c r="F20" s="28" t="s">
        <v>697</v>
      </c>
    </row>
    <row r="21" spans="1:6" ht="60" customHeight="1" x14ac:dyDescent="0.35">
      <c r="A21" s="29" t="s">
        <v>474</v>
      </c>
      <c r="B21" s="30" t="s">
        <v>698</v>
      </c>
      <c r="C21" s="30" t="s">
        <v>699</v>
      </c>
      <c r="D21" s="30" t="s">
        <v>700</v>
      </c>
      <c r="E21" s="30" t="s">
        <v>701</v>
      </c>
      <c r="F21" s="31" t="s">
        <v>702</v>
      </c>
    </row>
    <row r="22" spans="1:6" ht="60" customHeight="1" x14ac:dyDescent="0.35">
      <c r="A22" s="26" t="s">
        <v>480</v>
      </c>
      <c r="B22" s="27" t="s">
        <v>703</v>
      </c>
      <c r="C22" s="27" t="s">
        <v>704</v>
      </c>
      <c r="D22" s="27" t="s">
        <v>705</v>
      </c>
      <c r="E22" s="27" t="s">
        <v>706</v>
      </c>
      <c r="F22" s="28" t="s">
        <v>692</v>
      </c>
    </row>
    <row r="23" spans="1:6" ht="60" customHeight="1" x14ac:dyDescent="0.35">
      <c r="A23" s="29" t="s">
        <v>480</v>
      </c>
      <c r="B23" s="30" t="s">
        <v>707</v>
      </c>
      <c r="C23" s="30" t="s">
        <v>708</v>
      </c>
      <c r="D23" s="30" t="s">
        <v>709</v>
      </c>
      <c r="E23" s="30" t="s">
        <v>710</v>
      </c>
      <c r="F23" s="31" t="s">
        <v>697</v>
      </c>
    </row>
    <row r="24" spans="1:6" ht="60" customHeight="1" x14ac:dyDescent="0.35">
      <c r="A24" s="26" t="s">
        <v>446</v>
      </c>
      <c r="B24" s="27" t="s">
        <v>677</v>
      </c>
      <c r="C24" s="27" t="s">
        <v>711</v>
      </c>
      <c r="D24" s="27" t="s">
        <v>712</v>
      </c>
      <c r="E24" s="27" t="s">
        <v>713</v>
      </c>
      <c r="F24" s="28" t="s">
        <v>714</v>
      </c>
    </row>
    <row r="25" spans="1:6" ht="60" customHeight="1" x14ac:dyDescent="0.35">
      <c r="A25" s="72" t="s">
        <v>446</v>
      </c>
      <c r="B25" s="73" t="s">
        <v>682</v>
      </c>
      <c r="C25" s="73" t="s">
        <v>711</v>
      </c>
      <c r="D25" s="73" t="s">
        <v>712</v>
      </c>
      <c r="E25" s="73" t="s">
        <v>715</v>
      </c>
      <c r="F25" s="74" t="s">
        <v>716</v>
      </c>
    </row>
    <row r="27" spans="1:6" ht="22" customHeight="1" x14ac:dyDescent="0.35">
      <c r="A27" s="289" t="s">
        <v>717</v>
      </c>
      <c r="B27" s="223"/>
      <c r="C27" s="223"/>
      <c r="D27" s="223"/>
      <c r="E27" s="223"/>
      <c r="F27" s="224"/>
    </row>
    <row r="28" spans="1:6" ht="18" customHeight="1" x14ac:dyDescent="0.35">
      <c r="A28" s="70" t="s">
        <v>718</v>
      </c>
      <c r="B28" s="58" t="s">
        <v>719</v>
      </c>
      <c r="C28" s="58" t="s">
        <v>720</v>
      </c>
      <c r="D28" s="58" t="s">
        <v>721</v>
      </c>
      <c r="E28" s="58" t="s">
        <v>3</v>
      </c>
      <c r="F28" s="71" t="s">
        <v>722</v>
      </c>
    </row>
    <row r="29" spans="1:6" ht="60" customHeight="1" x14ac:dyDescent="0.35">
      <c r="A29" s="26" t="s">
        <v>723</v>
      </c>
      <c r="B29" s="27" t="s">
        <v>724</v>
      </c>
      <c r="C29" s="27" t="s">
        <v>725</v>
      </c>
      <c r="D29" s="27" t="s">
        <v>726</v>
      </c>
      <c r="E29" s="27" t="s">
        <v>727</v>
      </c>
      <c r="F29" s="28" t="s">
        <v>728</v>
      </c>
    </row>
    <row r="30" spans="1:6" ht="60" customHeight="1" x14ac:dyDescent="0.35">
      <c r="A30" s="29" t="s">
        <v>729</v>
      </c>
      <c r="B30" s="30" t="s">
        <v>730</v>
      </c>
      <c r="C30" s="30" t="s">
        <v>731</v>
      </c>
      <c r="D30" s="30" t="s">
        <v>732</v>
      </c>
      <c r="E30" s="30" t="s">
        <v>733</v>
      </c>
      <c r="F30" s="31" t="s">
        <v>728</v>
      </c>
    </row>
    <row r="31" spans="1:6" ht="60" customHeight="1" x14ac:dyDescent="0.35">
      <c r="A31" s="26" t="s">
        <v>734</v>
      </c>
      <c r="B31" s="27" t="s">
        <v>735</v>
      </c>
      <c r="C31" s="27" t="s">
        <v>736</v>
      </c>
      <c r="D31" s="27" t="s">
        <v>737</v>
      </c>
      <c r="E31" s="27" t="s">
        <v>738</v>
      </c>
      <c r="F31" s="28" t="s">
        <v>728</v>
      </c>
    </row>
    <row r="32" spans="1:6" ht="60" customHeight="1" x14ac:dyDescent="0.35">
      <c r="A32" s="72" t="s">
        <v>739</v>
      </c>
      <c r="B32" s="73" t="s">
        <v>740</v>
      </c>
      <c r="C32" s="73" t="s">
        <v>740</v>
      </c>
      <c r="D32" s="73" t="s">
        <v>741</v>
      </c>
      <c r="E32" s="73" t="s">
        <v>742</v>
      </c>
      <c r="F32" s="74" t="s">
        <v>743</v>
      </c>
    </row>
    <row r="34" spans="1:6" ht="22" customHeight="1" x14ac:dyDescent="0.35">
      <c r="A34" s="289" t="s">
        <v>744</v>
      </c>
      <c r="B34" s="223"/>
      <c r="C34" s="223"/>
      <c r="D34" s="223"/>
      <c r="E34" s="223"/>
      <c r="F34" s="224"/>
    </row>
    <row r="35" spans="1:6" ht="70" customHeight="1" x14ac:dyDescent="0.35">
      <c r="A35" s="290" t="s">
        <v>745</v>
      </c>
      <c r="B35" s="200"/>
      <c r="C35" s="200"/>
      <c r="D35" s="200"/>
      <c r="E35" s="200"/>
      <c r="F35" s="201"/>
    </row>
    <row r="36" spans="1:6" ht="18" customHeight="1" x14ac:dyDescent="0.35">
      <c r="A36" s="70" t="s">
        <v>746</v>
      </c>
      <c r="B36" s="58" t="s">
        <v>97</v>
      </c>
      <c r="C36" s="58" t="s">
        <v>747</v>
      </c>
      <c r="D36" s="58" t="s">
        <v>748</v>
      </c>
      <c r="E36" s="58" t="s">
        <v>749</v>
      </c>
      <c r="F36" s="71" t="s">
        <v>750</v>
      </c>
    </row>
    <row r="37" spans="1:6" ht="60" customHeight="1" x14ac:dyDescent="0.35">
      <c r="A37" s="26" t="s">
        <v>751</v>
      </c>
      <c r="B37" s="27" t="s">
        <v>752</v>
      </c>
      <c r="C37" s="27" t="s">
        <v>753</v>
      </c>
      <c r="D37" s="27" t="s">
        <v>692</v>
      </c>
      <c r="E37" s="27" t="s">
        <v>754</v>
      </c>
      <c r="F37" s="28" t="s">
        <v>755</v>
      </c>
    </row>
    <row r="38" spans="1:6" ht="60" customHeight="1" x14ac:dyDescent="0.35">
      <c r="A38" s="29" t="s">
        <v>756</v>
      </c>
      <c r="B38" s="30" t="s">
        <v>757</v>
      </c>
      <c r="C38" s="30" t="s">
        <v>758</v>
      </c>
      <c r="D38" s="30" t="s">
        <v>759</v>
      </c>
      <c r="E38" s="30" t="s">
        <v>760</v>
      </c>
      <c r="F38" s="31" t="s">
        <v>761</v>
      </c>
    </row>
    <row r="39" spans="1:6" ht="60" customHeight="1" x14ac:dyDescent="0.35">
      <c r="A39" s="26" t="s">
        <v>762</v>
      </c>
      <c r="B39" s="27" t="s">
        <v>763</v>
      </c>
      <c r="C39" s="27" t="s">
        <v>758</v>
      </c>
      <c r="D39" s="27" t="s">
        <v>764</v>
      </c>
      <c r="E39" s="27" t="s">
        <v>765</v>
      </c>
      <c r="F39" s="28" t="s">
        <v>761</v>
      </c>
    </row>
    <row r="40" spans="1:6" ht="60" customHeight="1" x14ac:dyDescent="0.35">
      <c r="A40" s="72" t="s">
        <v>766</v>
      </c>
      <c r="B40" s="73" t="s">
        <v>767</v>
      </c>
      <c r="C40" s="73" t="s">
        <v>768</v>
      </c>
      <c r="D40" s="73" t="s">
        <v>769</v>
      </c>
      <c r="E40" s="73" t="s">
        <v>770</v>
      </c>
      <c r="F40" s="74" t="s">
        <v>761</v>
      </c>
    </row>
    <row r="42" spans="1:6" ht="22" customHeight="1" x14ac:dyDescent="0.35">
      <c r="A42" s="289" t="s">
        <v>771</v>
      </c>
      <c r="B42" s="223"/>
      <c r="C42" s="223"/>
      <c r="D42" s="223"/>
      <c r="E42" s="223"/>
      <c r="F42" s="224"/>
    </row>
    <row r="43" spans="1:6" ht="18" customHeight="1" x14ac:dyDescent="0.35">
      <c r="A43" s="70" t="s">
        <v>772</v>
      </c>
      <c r="B43" s="58" t="s">
        <v>773</v>
      </c>
      <c r="C43" s="58" t="s">
        <v>774</v>
      </c>
      <c r="D43" s="58" t="s">
        <v>775</v>
      </c>
      <c r="E43" s="58" t="s">
        <v>776</v>
      </c>
      <c r="F43" s="71" t="s">
        <v>3</v>
      </c>
    </row>
    <row r="44" spans="1:6" ht="60" customHeight="1" x14ac:dyDescent="0.35">
      <c r="A44" s="26" t="s">
        <v>777</v>
      </c>
      <c r="B44" s="27" t="s">
        <v>778</v>
      </c>
      <c r="C44" s="27" t="s">
        <v>779</v>
      </c>
      <c r="D44" s="27" t="s">
        <v>780</v>
      </c>
      <c r="E44" s="27" t="s">
        <v>781</v>
      </c>
      <c r="F44" s="28" t="s">
        <v>782</v>
      </c>
    </row>
    <row r="45" spans="1:6" ht="60" customHeight="1" x14ac:dyDescent="0.35">
      <c r="A45" s="29" t="s">
        <v>783</v>
      </c>
      <c r="B45" s="30" t="s">
        <v>784</v>
      </c>
      <c r="C45" s="30" t="s">
        <v>785</v>
      </c>
      <c r="D45" s="30" t="s">
        <v>786</v>
      </c>
      <c r="E45" s="30" t="s">
        <v>781</v>
      </c>
      <c r="F45" s="31" t="s">
        <v>782</v>
      </c>
    </row>
    <row r="46" spans="1:6" ht="60" customHeight="1" x14ac:dyDescent="0.35">
      <c r="A46" s="26" t="s">
        <v>787</v>
      </c>
      <c r="B46" s="27" t="s">
        <v>788</v>
      </c>
      <c r="C46" s="27" t="s">
        <v>789</v>
      </c>
      <c r="D46" s="27" t="s">
        <v>790</v>
      </c>
      <c r="E46" s="27" t="s">
        <v>781</v>
      </c>
      <c r="F46" s="28" t="s">
        <v>782</v>
      </c>
    </row>
    <row r="47" spans="1:6" ht="60" customHeight="1" x14ac:dyDescent="0.35">
      <c r="A47" s="29" t="s">
        <v>791</v>
      </c>
      <c r="B47" s="30" t="s">
        <v>792</v>
      </c>
      <c r="C47" s="30" t="s">
        <v>793</v>
      </c>
      <c r="D47" s="30" t="s">
        <v>794</v>
      </c>
      <c r="E47" s="30" t="s">
        <v>781</v>
      </c>
      <c r="F47" s="31" t="s">
        <v>782</v>
      </c>
    </row>
    <row r="48" spans="1:6" ht="60" customHeight="1" x14ac:dyDescent="0.35">
      <c r="A48" s="26" t="s">
        <v>795</v>
      </c>
      <c r="B48" s="27" t="s">
        <v>796</v>
      </c>
      <c r="C48" s="27" t="s">
        <v>797</v>
      </c>
      <c r="D48" s="27" t="s">
        <v>798</v>
      </c>
      <c r="E48" s="27" t="s">
        <v>781</v>
      </c>
      <c r="F48" s="28" t="s">
        <v>782</v>
      </c>
    </row>
    <row r="49" spans="1:6" ht="60" customHeight="1" x14ac:dyDescent="0.35">
      <c r="A49" s="29" t="s">
        <v>799</v>
      </c>
      <c r="B49" s="30" t="s">
        <v>800</v>
      </c>
      <c r="C49" s="30" t="s">
        <v>801</v>
      </c>
      <c r="D49" s="30" t="s">
        <v>802</v>
      </c>
      <c r="E49" s="30" t="s">
        <v>803</v>
      </c>
      <c r="F49" s="31" t="s">
        <v>804</v>
      </c>
    </row>
    <row r="50" spans="1:6" ht="60" customHeight="1" x14ac:dyDescent="0.35">
      <c r="A50" s="26" t="s">
        <v>805</v>
      </c>
      <c r="B50" s="27" t="s">
        <v>806</v>
      </c>
      <c r="C50" s="27" t="s">
        <v>807</v>
      </c>
      <c r="D50" s="27" t="s">
        <v>808</v>
      </c>
      <c r="E50" s="27" t="s">
        <v>803</v>
      </c>
      <c r="F50" s="28" t="s">
        <v>809</v>
      </c>
    </row>
    <row r="51" spans="1:6" ht="60" customHeight="1" x14ac:dyDescent="0.35">
      <c r="A51" s="72" t="s">
        <v>810</v>
      </c>
      <c r="B51" s="73" t="s">
        <v>811</v>
      </c>
      <c r="C51" s="73" t="s">
        <v>812</v>
      </c>
      <c r="D51" s="73" t="s">
        <v>813</v>
      </c>
      <c r="E51" s="73" t="s">
        <v>814</v>
      </c>
      <c r="F51" s="74" t="s">
        <v>815</v>
      </c>
    </row>
  </sheetData>
  <mergeCells count="6">
    <mergeCell ref="A42:F42"/>
    <mergeCell ref="A14:F14"/>
    <mergeCell ref="A1:F1"/>
    <mergeCell ref="A27:F27"/>
    <mergeCell ref="A34:F34"/>
    <mergeCell ref="A35:F35"/>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72"/>
  <sheetViews>
    <sheetView workbookViewId="0">
      <selection sqref="A1:E1"/>
    </sheetView>
  </sheetViews>
  <sheetFormatPr defaultRowHeight="14.5" x14ac:dyDescent="0.35"/>
  <cols>
    <col min="1" max="1" width="28" customWidth="1"/>
    <col min="2" max="2" width="26" customWidth="1"/>
    <col min="3" max="3" width="20" customWidth="1"/>
    <col min="4" max="4" width="44" customWidth="1"/>
    <col min="5" max="5" width="34" customWidth="1"/>
  </cols>
  <sheetData>
    <row r="1" spans="1:5" ht="17" customHeight="1" x14ac:dyDescent="0.35">
      <c r="A1" s="293" t="s">
        <v>1086</v>
      </c>
      <c r="B1" s="182"/>
      <c r="C1" s="182"/>
      <c r="D1" s="182"/>
      <c r="E1" s="182"/>
    </row>
    <row r="2" spans="1:5" x14ac:dyDescent="0.35">
      <c r="A2" s="292" t="s">
        <v>1087</v>
      </c>
      <c r="B2" s="182"/>
      <c r="C2" s="182"/>
      <c r="D2" s="182"/>
      <c r="E2" s="182"/>
    </row>
    <row r="3" spans="1:5" ht="8" customHeight="1" x14ac:dyDescent="0.35"/>
    <row r="4" spans="1:5" x14ac:dyDescent="0.35">
      <c r="A4" s="291" t="s">
        <v>1088</v>
      </c>
      <c r="B4" s="182"/>
      <c r="C4" s="182"/>
      <c r="D4" s="182"/>
      <c r="E4" s="182"/>
    </row>
    <row r="5" spans="1:5" x14ac:dyDescent="0.35">
      <c r="A5" s="81" t="s">
        <v>97</v>
      </c>
      <c r="B5" s="81" t="s">
        <v>172</v>
      </c>
      <c r="C5" s="81" t="s">
        <v>1089</v>
      </c>
      <c r="D5" s="81" t="s">
        <v>1090</v>
      </c>
      <c r="E5" s="81" t="s">
        <v>150</v>
      </c>
    </row>
    <row r="6" spans="1:5" ht="26" customHeight="1" x14ac:dyDescent="0.35">
      <c r="A6" s="82" t="s">
        <v>1091</v>
      </c>
      <c r="B6" s="82" t="s">
        <v>1092</v>
      </c>
      <c r="C6" s="82" t="s">
        <v>1093</v>
      </c>
      <c r="D6" s="82" t="s">
        <v>1094</v>
      </c>
      <c r="E6" s="82" t="s">
        <v>1095</v>
      </c>
    </row>
    <row r="7" spans="1:5" ht="39" customHeight="1" x14ac:dyDescent="0.35">
      <c r="A7" s="83" t="s">
        <v>1096</v>
      </c>
      <c r="B7" s="83" t="s">
        <v>1097</v>
      </c>
      <c r="C7" s="83" t="s">
        <v>1098</v>
      </c>
      <c r="D7" s="83" t="s">
        <v>1099</v>
      </c>
      <c r="E7" s="83" t="s">
        <v>1100</v>
      </c>
    </row>
    <row r="8" spans="1:5" ht="26" customHeight="1" x14ac:dyDescent="0.35">
      <c r="A8" s="82" t="s">
        <v>1101</v>
      </c>
      <c r="B8" s="82" t="s">
        <v>1102</v>
      </c>
      <c r="C8" s="82" t="s">
        <v>1098</v>
      </c>
      <c r="D8" s="82" t="s">
        <v>1103</v>
      </c>
      <c r="E8" s="82" t="s">
        <v>1104</v>
      </c>
    </row>
    <row r="9" spans="1:5" ht="26" customHeight="1" x14ac:dyDescent="0.35">
      <c r="A9" s="83" t="s">
        <v>1105</v>
      </c>
      <c r="B9" s="83" t="s">
        <v>1106</v>
      </c>
      <c r="C9" s="83" t="s">
        <v>1093</v>
      </c>
      <c r="D9" s="83" t="s">
        <v>1107</v>
      </c>
      <c r="E9" s="83" t="s">
        <v>1108</v>
      </c>
    </row>
    <row r="10" spans="1:5" ht="39" customHeight="1" x14ac:dyDescent="0.35">
      <c r="A10" s="82" t="s">
        <v>1109</v>
      </c>
      <c r="B10" s="82" t="s">
        <v>1110</v>
      </c>
      <c r="C10" s="82" t="s">
        <v>1093</v>
      </c>
      <c r="D10" s="82" t="s">
        <v>1111</v>
      </c>
      <c r="E10" s="82" t="s">
        <v>1112</v>
      </c>
    </row>
    <row r="11" spans="1:5" ht="8" customHeight="1" x14ac:dyDescent="0.35"/>
    <row r="12" spans="1:5" x14ac:dyDescent="0.35">
      <c r="A12" s="291" t="s">
        <v>1113</v>
      </c>
      <c r="B12" s="182"/>
      <c r="C12" s="182"/>
      <c r="D12" s="182"/>
      <c r="E12" s="182"/>
    </row>
    <row r="13" spans="1:5" x14ac:dyDescent="0.35">
      <c r="A13" s="81" t="s">
        <v>97</v>
      </c>
      <c r="B13" s="81" t="s">
        <v>1114</v>
      </c>
      <c r="C13" s="81" t="s">
        <v>1089</v>
      </c>
      <c r="D13" s="81" t="s">
        <v>1090</v>
      </c>
      <c r="E13" s="81" t="s">
        <v>1115</v>
      </c>
    </row>
    <row r="14" spans="1:5" ht="39" customHeight="1" x14ac:dyDescent="0.35">
      <c r="A14" s="82" t="s">
        <v>1116</v>
      </c>
      <c r="B14" s="82" t="s">
        <v>1117</v>
      </c>
      <c r="C14" s="82" t="s">
        <v>1118</v>
      </c>
      <c r="D14" s="82" t="s">
        <v>1119</v>
      </c>
      <c r="E14" s="82" t="s">
        <v>1120</v>
      </c>
    </row>
    <row r="15" spans="1:5" ht="39" customHeight="1" x14ac:dyDescent="0.35">
      <c r="A15" s="83" t="s">
        <v>1121</v>
      </c>
      <c r="B15" s="83" t="s">
        <v>1117</v>
      </c>
      <c r="C15" s="83" t="s">
        <v>1122</v>
      </c>
      <c r="D15" s="83" t="s">
        <v>1123</v>
      </c>
      <c r="E15" s="83" t="s">
        <v>1120</v>
      </c>
    </row>
    <row r="16" spans="1:5" ht="26" customHeight="1" x14ac:dyDescent="0.35">
      <c r="A16" s="82" t="s">
        <v>1124</v>
      </c>
      <c r="B16" s="82" t="s">
        <v>1125</v>
      </c>
      <c r="C16" s="82" t="s">
        <v>1126</v>
      </c>
      <c r="D16" s="82" t="s">
        <v>1127</v>
      </c>
      <c r="E16" s="82" t="s">
        <v>1128</v>
      </c>
    </row>
    <row r="17" spans="1:5" ht="26" customHeight="1" x14ac:dyDescent="0.35">
      <c r="A17" s="83" t="s">
        <v>1129</v>
      </c>
      <c r="B17" s="83" t="s">
        <v>1125</v>
      </c>
      <c r="C17" s="83" t="s">
        <v>1130</v>
      </c>
      <c r="D17" s="83" t="s">
        <v>1131</v>
      </c>
      <c r="E17" s="83" t="s">
        <v>1128</v>
      </c>
    </row>
    <row r="18" spans="1:5" ht="39" customHeight="1" x14ac:dyDescent="0.35">
      <c r="A18" s="82" t="s">
        <v>1132</v>
      </c>
      <c r="B18" s="82" t="s">
        <v>999</v>
      </c>
      <c r="C18" s="82" t="s">
        <v>1133</v>
      </c>
      <c r="D18" s="82" t="s">
        <v>1134</v>
      </c>
      <c r="E18" s="82" t="s">
        <v>1135</v>
      </c>
    </row>
    <row r="19" spans="1:5" ht="26" customHeight="1" x14ac:dyDescent="0.35">
      <c r="A19" s="83" t="s">
        <v>1136</v>
      </c>
      <c r="B19" s="83" t="s">
        <v>999</v>
      </c>
      <c r="C19" s="83" t="s">
        <v>1137</v>
      </c>
      <c r="D19" s="83" t="s">
        <v>1138</v>
      </c>
      <c r="E19" s="83" t="s">
        <v>1135</v>
      </c>
    </row>
    <row r="20" spans="1:5" ht="26" customHeight="1" x14ac:dyDescent="0.35">
      <c r="A20" s="82" t="s">
        <v>1139</v>
      </c>
      <c r="B20" s="82" t="s">
        <v>1140</v>
      </c>
      <c r="C20" s="82" t="s">
        <v>1141</v>
      </c>
      <c r="D20" s="82" t="s">
        <v>1142</v>
      </c>
      <c r="E20" s="82" t="s">
        <v>1143</v>
      </c>
    </row>
    <row r="21" spans="1:5" ht="8" customHeight="1" x14ac:dyDescent="0.35"/>
    <row r="22" spans="1:5" x14ac:dyDescent="0.35">
      <c r="A22" s="291" t="s">
        <v>1144</v>
      </c>
      <c r="B22" s="182"/>
      <c r="C22" s="182"/>
      <c r="D22" s="182"/>
      <c r="E22" s="182"/>
    </row>
    <row r="23" spans="1:5" x14ac:dyDescent="0.35">
      <c r="A23" s="81" t="s">
        <v>97</v>
      </c>
      <c r="B23" s="81" t="s">
        <v>172</v>
      </c>
      <c r="C23" s="81" t="s">
        <v>1089</v>
      </c>
      <c r="D23" s="81" t="s">
        <v>1090</v>
      </c>
      <c r="E23" s="81" t="s">
        <v>150</v>
      </c>
    </row>
    <row r="24" spans="1:5" ht="39" customHeight="1" x14ac:dyDescent="0.35">
      <c r="A24" s="82" t="s">
        <v>1145</v>
      </c>
      <c r="B24" s="82" t="s">
        <v>1146</v>
      </c>
      <c r="C24" s="82" t="s">
        <v>1093</v>
      </c>
      <c r="D24" s="82" t="s">
        <v>1147</v>
      </c>
      <c r="E24" s="82" t="s">
        <v>1148</v>
      </c>
    </row>
    <row r="25" spans="1:5" ht="26" customHeight="1" x14ac:dyDescent="0.35">
      <c r="A25" s="83" t="s">
        <v>1149</v>
      </c>
      <c r="B25" s="83" t="s">
        <v>1150</v>
      </c>
      <c r="C25" s="83" t="s">
        <v>1093</v>
      </c>
      <c r="D25" s="83" t="s">
        <v>1151</v>
      </c>
      <c r="E25" s="83" t="s">
        <v>1148</v>
      </c>
    </row>
    <row r="26" spans="1:5" ht="39" customHeight="1" x14ac:dyDescent="0.35">
      <c r="A26" s="82" t="s">
        <v>1152</v>
      </c>
      <c r="B26" s="82" t="s">
        <v>1153</v>
      </c>
      <c r="C26" s="82" t="s">
        <v>1093</v>
      </c>
      <c r="D26" s="82" t="s">
        <v>1154</v>
      </c>
      <c r="E26" s="82" t="s">
        <v>1155</v>
      </c>
    </row>
    <row r="27" spans="1:5" ht="39" customHeight="1" x14ac:dyDescent="0.35">
      <c r="A27" s="83" t="s">
        <v>1156</v>
      </c>
      <c r="B27" s="83" t="s">
        <v>1157</v>
      </c>
      <c r="C27" s="83" t="s">
        <v>1093</v>
      </c>
      <c r="D27" s="83" t="s">
        <v>1158</v>
      </c>
      <c r="E27" s="83" t="s">
        <v>1159</v>
      </c>
    </row>
    <row r="28" spans="1:5" ht="8" customHeight="1" x14ac:dyDescent="0.35"/>
    <row r="29" spans="1:5" x14ac:dyDescent="0.35">
      <c r="A29" s="291" t="s">
        <v>1160</v>
      </c>
      <c r="B29" s="182"/>
      <c r="C29" s="182"/>
      <c r="D29" s="182"/>
      <c r="E29" s="182"/>
    </row>
    <row r="30" spans="1:5" x14ac:dyDescent="0.35">
      <c r="A30" s="81" t="s">
        <v>97</v>
      </c>
      <c r="B30" s="81" t="s">
        <v>172</v>
      </c>
      <c r="C30" s="81" t="s">
        <v>1089</v>
      </c>
      <c r="D30" s="81" t="s">
        <v>1090</v>
      </c>
      <c r="E30" s="81" t="s">
        <v>150</v>
      </c>
    </row>
    <row r="31" spans="1:5" ht="52" customHeight="1" x14ac:dyDescent="0.35">
      <c r="A31" s="82" t="s">
        <v>1161</v>
      </c>
      <c r="B31" s="82" t="s">
        <v>1162</v>
      </c>
      <c r="C31" s="82" t="s">
        <v>1163</v>
      </c>
      <c r="D31" s="82" t="s">
        <v>1164</v>
      </c>
      <c r="E31" s="82" t="s">
        <v>1165</v>
      </c>
    </row>
    <row r="32" spans="1:5" ht="26" customHeight="1" x14ac:dyDescent="0.35">
      <c r="A32" s="83" t="s">
        <v>1166</v>
      </c>
      <c r="B32" s="83" t="s">
        <v>1167</v>
      </c>
      <c r="C32" s="83" t="s">
        <v>1163</v>
      </c>
      <c r="D32" s="83" t="s">
        <v>1168</v>
      </c>
      <c r="E32" s="83" t="s">
        <v>1169</v>
      </c>
    </row>
    <row r="33" spans="1:5" ht="26" customHeight="1" x14ac:dyDescent="0.35">
      <c r="A33" s="82" t="s">
        <v>1170</v>
      </c>
      <c r="B33" s="82" t="s">
        <v>1171</v>
      </c>
      <c r="C33" s="82" t="s">
        <v>1163</v>
      </c>
      <c r="D33" s="82" t="s">
        <v>1172</v>
      </c>
      <c r="E33" s="82" t="s">
        <v>1173</v>
      </c>
    </row>
    <row r="34" spans="1:5" ht="8" customHeight="1" x14ac:dyDescent="0.35"/>
    <row r="35" spans="1:5" x14ac:dyDescent="0.35">
      <c r="A35" s="291" t="s">
        <v>1174</v>
      </c>
      <c r="B35" s="182"/>
      <c r="C35" s="182"/>
      <c r="D35" s="182"/>
      <c r="E35" s="182"/>
    </row>
    <row r="36" spans="1:5" x14ac:dyDescent="0.35">
      <c r="A36" s="81" t="s">
        <v>1175</v>
      </c>
      <c r="B36" s="81" t="s">
        <v>1176</v>
      </c>
      <c r="C36" s="81" t="s">
        <v>1177</v>
      </c>
      <c r="D36" s="81" t="s">
        <v>1178</v>
      </c>
      <c r="E36" s="81" t="s">
        <v>1179</v>
      </c>
    </row>
    <row r="37" spans="1:5" ht="26" customHeight="1" x14ac:dyDescent="0.35">
      <c r="A37" s="82" t="s">
        <v>1180</v>
      </c>
      <c r="B37" s="82" t="s">
        <v>1181</v>
      </c>
      <c r="C37" s="82" t="s">
        <v>1182</v>
      </c>
      <c r="D37" s="82" t="s">
        <v>1183</v>
      </c>
      <c r="E37" s="82" t="s">
        <v>1184</v>
      </c>
    </row>
    <row r="38" spans="1:5" x14ac:dyDescent="0.35">
      <c r="A38" s="83" t="s">
        <v>1185</v>
      </c>
      <c r="B38" s="83" t="s">
        <v>1186</v>
      </c>
      <c r="C38" s="83" t="s">
        <v>1187</v>
      </c>
      <c r="D38" s="83" t="s">
        <v>1188</v>
      </c>
      <c r="E38" s="83" t="s">
        <v>1189</v>
      </c>
    </row>
    <row r="39" spans="1:5" ht="26" customHeight="1" x14ac:dyDescent="0.35">
      <c r="A39" s="82" t="s">
        <v>1190</v>
      </c>
      <c r="B39" s="82" t="s">
        <v>1191</v>
      </c>
      <c r="C39" s="82" t="s">
        <v>1192</v>
      </c>
      <c r="D39" s="82" t="s">
        <v>1193</v>
      </c>
      <c r="E39" s="82" t="s">
        <v>1194</v>
      </c>
    </row>
    <row r="40" spans="1:5" ht="26" customHeight="1" x14ac:dyDescent="0.35">
      <c r="A40" s="83" t="s">
        <v>1195</v>
      </c>
      <c r="B40" s="83" t="s">
        <v>1196</v>
      </c>
      <c r="C40" s="83" t="s">
        <v>1197</v>
      </c>
      <c r="D40" s="83" t="s">
        <v>1198</v>
      </c>
      <c r="E40" s="83" t="s">
        <v>1199</v>
      </c>
    </row>
    <row r="41" spans="1:5" ht="8" customHeight="1" x14ac:dyDescent="0.35"/>
    <row r="42" spans="1:5" x14ac:dyDescent="0.35">
      <c r="A42" s="291" t="s">
        <v>1200</v>
      </c>
      <c r="B42" s="182"/>
      <c r="C42" s="182"/>
      <c r="D42" s="182"/>
      <c r="E42" s="182"/>
    </row>
    <row r="43" spans="1:5" x14ac:dyDescent="0.35">
      <c r="A43" s="81" t="s">
        <v>149</v>
      </c>
      <c r="B43" s="81" t="s">
        <v>1201</v>
      </c>
      <c r="C43" s="81" t="s">
        <v>98</v>
      </c>
      <c r="D43" s="81" t="s">
        <v>150</v>
      </c>
      <c r="E43" s="81" t="s">
        <v>173</v>
      </c>
    </row>
    <row r="44" spans="1:5" x14ac:dyDescent="0.35">
      <c r="A44" s="82" t="s">
        <v>152</v>
      </c>
      <c r="B44" s="82" t="s">
        <v>1202</v>
      </c>
      <c r="C44" s="82" t="s">
        <v>1203</v>
      </c>
      <c r="D44" s="82" t="s">
        <v>1204</v>
      </c>
      <c r="E44" s="82" t="s">
        <v>1163</v>
      </c>
    </row>
    <row r="45" spans="1:5" x14ac:dyDescent="0.35">
      <c r="A45" s="83" t="s">
        <v>152</v>
      </c>
      <c r="B45" s="83" t="s">
        <v>1202</v>
      </c>
      <c r="C45" s="83" t="s">
        <v>692</v>
      </c>
      <c r="D45" s="83" t="s">
        <v>1205</v>
      </c>
      <c r="E45" s="83" t="s">
        <v>4</v>
      </c>
    </row>
    <row r="46" spans="1:5" x14ac:dyDescent="0.35">
      <c r="A46" s="82" t="s">
        <v>156</v>
      </c>
      <c r="B46" s="82" t="s">
        <v>1206</v>
      </c>
      <c r="C46" s="82" t="s">
        <v>1207</v>
      </c>
      <c r="D46" s="82" t="s">
        <v>1208</v>
      </c>
      <c r="E46" s="82" t="s">
        <v>1209</v>
      </c>
    </row>
    <row r="47" spans="1:5" x14ac:dyDescent="0.35">
      <c r="A47" s="83" t="s">
        <v>156</v>
      </c>
      <c r="B47" s="83" t="s">
        <v>1206</v>
      </c>
      <c r="C47" s="83" t="s">
        <v>1210</v>
      </c>
      <c r="D47" s="83" t="s">
        <v>1211</v>
      </c>
      <c r="E47" s="83" t="s">
        <v>1212</v>
      </c>
    </row>
    <row r="48" spans="1:5" ht="26" customHeight="1" x14ac:dyDescent="0.35">
      <c r="A48" s="82" t="s">
        <v>156</v>
      </c>
      <c r="B48" s="82" t="s">
        <v>1206</v>
      </c>
      <c r="C48" s="82" t="s">
        <v>1213</v>
      </c>
      <c r="D48" s="82" t="s">
        <v>1214</v>
      </c>
      <c r="E48" s="82" t="s">
        <v>1093</v>
      </c>
    </row>
    <row r="49" spans="1:5" x14ac:dyDescent="0.35">
      <c r="A49" s="83" t="s">
        <v>156</v>
      </c>
      <c r="B49" s="83" t="s">
        <v>1206</v>
      </c>
      <c r="C49" s="83" t="s">
        <v>1215</v>
      </c>
      <c r="D49" s="83" t="s">
        <v>1216</v>
      </c>
      <c r="E49" s="83" t="s">
        <v>176</v>
      </c>
    </row>
    <row r="50" spans="1:5" x14ac:dyDescent="0.35">
      <c r="A50" s="82" t="s">
        <v>160</v>
      </c>
      <c r="B50" s="82" t="s">
        <v>1217</v>
      </c>
      <c r="C50" s="82" t="s">
        <v>1218</v>
      </c>
      <c r="D50" s="82" t="s">
        <v>1219</v>
      </c>
      <c r="E50" s="82" t="s">
        <v>1220</v>
      </c>
    </row>
    <row r="51" spans="1:5" ht="26" customHeight="1" x14ac:dyDescent="0.35">
      <c r="A51" s="83" t="s">
        <v>164</v>
      </c>
      <c r="B51" s="83" t="s">
        <v>1221</v>
      </c>
      <c r="C51" s="83" t="s">
        <v>1222</v>
      </c>
      <c r="D51" s="83" t="s">
        <v>1223</v>
      </c>
      <c r="E51" s="83" t="s">
        <v>1141</v>
      </c>
    </row>
    <row r="52" spans="1:5" ht="26" customHeight="1" x14ac:dyDescent="0.35">
      <c r="A52" s="82" t="s">
        <v>118</v>
      </c>
      <c r="B52" s="82" t="s">
        <v>1224</v>
      </c>
      <c r="C52" s="82" t="s">
        <v>1203</v>
      </c>
      <c r="D52" s="82" t="s">
        <v>1225</v>
      </c>
      <c r="E52" s="82" t="s">
        <v>1141</v>
      </c>
    </row>
    <row r="53" spans="1:5" x14ac:dyDescent="0.35">
      <c r="A53" s="83" t="s">
        <v>1226</v>
      </c>
      <c r="B53" s="83" t="s">
        <v>1227</v>
      </c>
      <c r="C53" s="83" t="s">
        <v>172</v>
      </c>
      <c r="D53" s="83" t="s">
        <v>1228</v>
      </c>
      <c r="E53" s="83" t="s">
        <v>1093</v>
      </c>
    </row>
    <row r="54" spans="1:5" ht="26" customHeight="1" x14ac:dyDescent="0.35">
      <c r="A54" s="82" t="s">
        <v>1229</v>
      </c>
      <c r="B54" s="82" t="s">
        <v>1230</v>
      </c>
      <c r="C54" s="82" t="s">
        <v>1203</v>
      </c>
      <c r="D54" s="82" t="s">
        <v>1231</v>
      </c>
      <c r="E54" s="82" t="s">
        <v>1220</v>
      </c>
    </row>
    <row r="55" spans="1:5" ht="39" customHeight="1" x14ac:dyDescent="0.35">
      <c r="A55" s="83" t="s">
        <v>1229</v>
      </c>
      <c r="B55" s="83" t="s">
        <v>1230</v>
      </c>
      <c r="C55" s="83" t="s">
        <v>692</v>
      </c>
      <c r="D55" s="83" t="s">
        <v>1232</v>
      </c>
      <c r="E55" s="83" t="s">
        <v>1233</v>
      </c>
    </row>
    <row r="56" spans="1:5" ht="8" customHeight="1" x14ac:dyDescent="0.35"/>
    <row r="57" spans="1:5" x14ac:dyDescent="0.35">
      <c r="A57" s="291" t="s">
        <v>1234</v>
      </c>
      <c r="B57" s="182"/>
      <c r="C57" s="182"/>
      <c r="D57" s="182"/>
      <c r="E57" s="182"/>
    </row>
    <row r="58" spans="1:5" x14ac:dyDescent="0.35">
      <c r="A58" s="81" t="s">
        <v>1</v>
      </c>
      <c r="B58" s="81" t="s">
        <v>630</v>
      </c>
      <c r="C58" s="81" t="s">
        <v>1235</v>
      </c>
      <c r="D58" s="81" t="s">
        <v>749</v>
      </c>
      <c r="E58" s="81" t="s">
        <v>3</v>
      </c>
    </row>
    <row r="59" spans="1:5" x14ac:dyDescent="0.35">
      <c r="A59" s="82" t="s">
        <v>1236</v>
      </c>
      <c r="B59" s="82" t="s">
        <v>1237</v>
      </c>
      <c r="C59" s="82" t="s">
        <v>1238</v>
      </c>
      <c r="D59" s="82" t="s">
        <v>1239</v>
      </c>
      <c r="E59" s="82" t="s">
        <v>1240</v>
      </c>
    </row>
    <row r="60" spans="1:5" x14ac:dyDescent="0.35">
      <c r="A60" s="83" t="s">
        <v>1241</v>
      </c>
      <c r="B60" s="83" t="s">
        <v>1242</v>
      </c>
      <c r="C60" s="83" t="s">
        <v>1238</v>
      </c>
      <c r="D60" s="83" t="s">
        <v>1243</v>
      </c>
      <c r="E60" s="83" t="s">
        <v>1240</v>
      </c>
    </row>
    <row r="61" spans="1:5" x14ac:dyDescent="0.35">
      <c r="A61" s="82" t="s">
        <v>1244</v>
      </c>
      <c r="B61" s="82" t="s">
        <v>1245</v>
      </c>
      <c r="C61" s="82" t="s">
        <v>1238</v>
      </c>
      <c r="D61" s="82" t="s">
        <v>1246</v>
      </c>
      <c r="E61" s="82" t="s">
        <v>1247</v>
      </c>
    </row>
    <row r="62" spans="1:5" x14ac:dyDescent="0.35">
      <c r="A62" s="83" t="s">
        <v>1248</v>
      </c>
      <c r="B62" s="83" t="s">
        <v>1245</v>
      </c>
      <c r="C62" s="83" t="s">
        <v>1238</v>
      </c>
      <c r="D62" s="83" t="s">
        <v>1249</v>
      </c>
      <c r="E62" s="83" t="s">
        <v>1247</v>
      </c>
    </row>
    <row r="63" spans="1:5" x14ac:dyDescent="0.35">
      <c r="A63" s="82" t="s">
        <v>1250</v>
      </c>
      <c r="B63" s="82" t="s">
        <v>1251</v>
      </c>
      <c r="C63" s="82" t="s">
        <v>1252</v>
      </c>
      <c r="D63" s="82" t="s">
        <v>1253</v>
      </c>
      <c r="E63" s="82" t="s">
        <v>1254</v>
      </c>
    </row>
    <row r="64" spans="1:5" x14ac:dyDescent="0.35">
      <c r="A64" s="83" t="s">
        <v>1255</v>
      </c>
      <c r="B64" s="83" t="s">
        <v>1256</v>
      </c>
      <c r="C64" s="83" t="s">
        <v>1257</v>
      </c>
      <c r="D64" s="83" t="s">
        <v>1258</v>
      </c>
      <c r="E64" s="83" t="s">
        <v>1259</v>
      </c>
    </row>
    <row r="65" spans="1:5" x14ac:dyDescent="0.35">
      <c r="A65" s="82" t="s">
        <v>1260</v>
      </c>
      <c r="B65" s="82" t="s">
        <v>1261</v>
      </c>
      <c r="C65" s="82" t="s">
        <v>1262</v>
      </c>
      <c r="D65" s="82" t="s">
        <v>1263</v>
      </c>
      <c r="E65" s="82" t="s">
        <v>1264</v>
      </c>
    </row>
    <row r="66" spans="1:5" x14ac:dyDescent="0.35">
      <c r="A66" s="83" t="s">
        <v>1265</v>
      </c>
      <c r="B66" s="83" t="s">
        <v>1266</v>
      </c>
      <c r="C66" s="83" t="s">
        <v>1267</v>
      </c>
      <c r="D66" s="83" t="s">
        <v>1268</v>
      </c>
      <c r="E66" s="83" t="s">
        <v>1269</v>
      </c>
    </row>
    <row r="67" spans="1:5" x14ac:dyDescent="0.35">
      <c r="A67" s="82" t="s">
        <v>1270</v>
      </c>
      <c r="B67" s="82" t="s">
        <v>1271</v>
      </c>
      <c r="C67" s="82" t="s">
        <v>1238</v>
      </c>
      <c r="D67" s="82" t="s">
        <v>1272</v>
      </c>
      <c r="E67" s="82" t="s">
        <v>1273</v>
      </c>
    </row>
    <row r="68" spans="1:5" x14ac:dyDescent="0.35">
      <c r="A68" s="83" t="s">
        <v>1274</v>
      </c>
      <c r="B68" s="83" t="s">
        <v>1271</v>
      </c>
      <c r="C68" s="83" t="s">
        <v>1238</v>
      </c>
      <c r="D68" s="83" t="s">
        <v>1275</v>
      </c>
      <c r="E68" s="83" t="s">
        <v>1276</v>
      </c>
    </row>
    <row r="69" spans="1:5" x14ac:dyDescent="0.35">
      <c r="A69" s="82" t="s">
        <v>1277</v>
      </c>
      <c r="B69" s="82" t="s">
        <v>1278</v>
      </c>
      <c r="C69" s="82" t="s">
        <v>1257</v>
      </c>
      <c r="D69" s="82" t="s">
        <v>1279</v>
      </c>
      <c r="E69" s="82" t="s">
        <v>1280</v>
      </c>
    </row>
    <row r="70" spans="1:5" x14ac:dyDescent="0.35">
      <c r="A70" s="83" t="s">
        <v>1281</v>
      </c>
      <c r="B70" s="83" t="s">
        <v>1282</v>
      </c>
      <c r="C70" s="83" t="s">
        <v>1238</v>
      </c>
      <c r="D70" s="83" t="s">
        <v>1283</v>
      </c>
      <c r="E70" s="83" t="s">
        <v>1284</v>
      </c>
    </row>
    <row r="71" spans="1:5" x14ac:dyDescent="0.35">
      <c r="A71" s="82" t="s">
        <v>1285</v>
      </c>
      <c r="B71" s="82" t="s">
        <v>1286</v>
      </c>
      <c r="C71" s="82" t="s">
        <v>1238</v>
      </c>
      <c r="D71" s="82" t="s">
        <v>1287</v>
      </c>
      <c r="E71" s="82" t="s">
        <v>1288</v>
      </c>
    </row>
    <row r="72" spans="1:5" ht="26" customHeight="1" x14ac:dyDescent="0.35">
      <c r="A72" s="83" t="s">
        <v>1289</v>
      </c>
      <c r="B72" s="83" t="s">
        <v>1290</v>
      </c>
      <c r="C72" s="83" t="s">
        <v>1238</v>
      </c>
      <c r="D72" s="83" t="s">
        <v>1291</v>
      </c>
      <c r="E72" s="83" t="s">
        <v>1292</v>
      </c>
    </row>
  </sheetData>
  <mergeCells count="9">
    <mergeCell ref="A57:E57"/>
    <mergeCell ref="A29:E29"/>
    <mergeCell ref="A2:E2"/>
    <mergeCell ref="A42:E42"/>
    <mergeCell ref="A1:E1"/>
    <mergeCell ref="A22:E22"/>
    <mergeCell ref="A35:E35"/>
    <mergeCell ref="A4:E4"/>
    <mergeCell ref="A12:E12"/>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78"/>
  <sheetViews>
    <sheetView topLeftCell="A57" workbookViewId="0">
      <selection activeCell="B66" sqref="B66"/>
    </sheetView>
  </sheetViews>
  <sheetFormatPr defaultRowHeight="14.5" x14ac:dyDescent="0.35"/>
  <cols>
    <col min="1" max="1" width="22" customWidth="1"/>
    <col min="2" max="2" width="30" customWidth="1"/>
    <col min="3" max="3" width="50" customWidth="1"/>
    <col min="4" max="4" width="30" customWidth="1"/>
  </cols>
  <sheetData>
    <row r="1" spans="1:4" x14ac:dyDescent="0.35">
      <c r="A1" s="294" t="s">
        <v>1293</v>
      </c>
      <c r="B1" s="182"/>
      <c r="C1" s="182"/>
      <c r="D1" s="182"/>
    </row>
    <row r="2" spans="1:4" x14ac:dyDescent="0.35">
      <c r="A2" s="141"/>
      <c r="B2" s="141"/>
      <c r="C2" s="141"/>
      <c r="D2" s="141"/>
    </row>
    <row r="3" spans="1:4" x14ac:dyDescent="0.35">
      <c r="A3" s="295" t="s">
        <v>1294</v>
      </c>
      <c r="B3" s="182"/>
      <c r="C3" s="182"/>
      <c r="D3" s="182"/>
    </row>
    <row r="4" spans="1:4" x14ac:dyDescent="0.35">
      <c r="A4" s="142" t="s">
        <v>1295</v>
      </c>
      <c r="B4" s="142" t="s">
        <v>1296</v>
      </c>
      <c r="C4" s="142" t="s">
        <v>253</v>
      </c>
      <c r="D4" s="142" t="s">
        <v>3</v>
      </c>
    </row>
    <row r="5" spans="1:4" x14ac:dyDescent="0.35">
      <c r="A5" s="143" t="s">
        <v>1297</v>
      </c>
      <c r="B5" s="143" t="s">
        <v>1298</v>
      </c>
      <c r="C5" s="143" t="s">
        <v>1299</v>
      </c>
      <c r="D5" s="143"/>
    </row>
    <row r="6" spans="1:4" ht="39" customHeight="1" x14ac:dyDescent="0.35">
      <c r="A6" s="144" t="s">
        <v>1300</v>
      </c>
      <c r="B6" s="144" t="s">
        <v>1298</v>
      </c>
      <c r="C6" s="144" t="s">
        <v>1301</v>
      </c>
      <c r="D6" s="144" t="s">
        <v>1302</v>
      </c>
    </row>
    <row r="7" spans="1:4" ht="52" customHeight="1" x14ac:dyDescent="0.35">
      <c r="A7" s="143" t="s">
        <v>1303</v>
      </c>
      <c r="B7" s="143" t="s">
        <v>1304</v>
      </c>
      <c r="C7" s="143" t="s">
        <v>1305</v>
      </c>
      <c r="D7" s="143" t="s">
        <v>1306</v>
      </c>
    </row>
    <row r="8" spans="1:4" ht="26" customHeight="1" x14ac:dyDescent="0.35">
      <c r="A8" s="144" t="s">
        <v>1307</v>
      </c>
      <c r="B8" s="144" t="s">
        <v>1308</v>
      </c>
      <c r="C8" s="144" t="s">
        <v>1309</v>
      </c>
      <c r="D8" s="144" t="s">
        <v>1310</v>
      </c>
    </row>
    <row r="9" spans="1:4" ht="52" customHeight="1" x14ac:dyDescent="0.35">
      <c r="A9" s="143" t="s">
        <v>1311</v>
      </c>
      <c r="B9" s="143" t="s">
        <v>1304</v>
      </c>
      <c r="C9" s="143" t="s">
        <v>1312</v>
      </c>
      <c r="D9" s="143"/>
    </row>
    <row r="10" spans="1:4" ht="26" customHeight="1" x14ac:dyDescent="0.35">
      <c r="A10" s="144" t="s">
        <v>1313</v>
      </c>
      <c r="B10" s="144" t="s">
        <v>1308</v>
      </c>
      <c r="C10" s="144" t="s">
        <v>1314</v>
      </c>
      <c r="D10" s="144"/>
    </row>
    <row r="11" spans="1:4" ht="39" customHeight="1" x14ac:dyDescent="0.35">
      <c r="A11" s="143" t="s">
        <v>1315</v>
      </c>
      <c r="B11" s="143" t="s">
        <v>1304</v>
      </c>
      <c r="C11" s="143" t="s">
        <v>1316</v>
      </c>
      <c r="D11" s="143" t="s">
        <v>1317</v>
      </c>
    </row>
    <row r="12" spans="1:4" ht="26" customHeight="1" x14ac:dyDescent="0.35">
      <c r="A12" s="144" t="s">
        <v>1318</v>
      </c>
      <c r="B12" s="144" t="s">
        <v>1308</v>
      </c>
      <c r="C12" s="144" t="s">
        <v>1319</v>
      </c>
      <c r="D12" s="144"/>
    </row>
    <row r="13" spans="1:4" ht="52" customHeight="1" x14ac:dyDescent="0.35">
      <c r="A13" s="143" t="s">
        <v>1320</v>
      </c>
      <c r="B13" s="143" t="s">
        <v>1321</v>
      </c>
      <c r="C13" s="143" t="s">
        <v>1322</v>
      </c>
      <c r="D13" s="143" t="s">
        <v>1323</v>
      </c>
    </row>
    <row r="14" spans="1:4" ht="52" customHeight="1" x14ac:dyDescent="0.35">
      <c r="A14" s="144" t="s">
        <v>1324</v>
      </c>
      <c r="B14" s="144" t="s">
        <v>1325</v>
      </c>
      <c r="C14" s="144" t="s">
        <v>1326</v>
      </c>
      <c r="D14" s="144" t="s">
        <v>1327</v>
      </c>
    </row>
    <row r="15" spans="1:4" ht="52" customHeight="1" x14ac:dyDescent="0.35">
      <c r="A15" s="143" t="s">
        <v>1328</v>
      </c>
      <c r="B15" s="143" t="s">
        <v>1298</v>
      </c>
      <c r="C15" s="143" t="s">
        <v>1329</v>
      </c>
      <c r="D15" s="143"/>
    </row>
    <row r="16" spans="1:4" x14ac:dyDescent="0.35">
      <c r="A16" s="141"/>
      <c r="B16" s="141"/>
      <c r="C16" s="141"/>
      <c r="D16" s="141"/>
    </row>
    <row r="17" spans="1:4" x14ac:dyDescent="0.35">
      <c r="A17" s="295" t="s">
        <v>1330</v>
      </c>
      <c r="B17" s="182"/>
      <c r="C17" s="182"/>
      <c r="D17" s="182"/>
    </row>
    <row r="18" spans="1:4" x14ac:dyDescent="0.35">
      <c r="A18" s="142" t="s">
        <v>1295</v>
      </c>
      <c r="B18" s="142" t="s">
        <v>1296</v>
      </c>
      <c r="C18" s="142" t="s">
        <v>253</v>
      </c>
      <c r="D18" s="142" t="s">
        <v>3</v>
      </c>
    </row>
    <row r="19" spans="1:4" x14ac:dyDescent="0.35">
      <c r="A19" s="143" t="s">
        <v>1297</v>
      </c>
      <c r="B19" s="143" t="s">
        <v>1331</v>
      </c>
      <c r="C19" s="143" t="s">
        <v>1332</v>
      </c>
      <c r="D19" s="143"/>
    </row>
    <row r="20" spans="1:4" ht="26" customHeight="1" x14ac:dyDescent="0.35">
      <c r="A20" s="144" t="s">
        <v>1300</v>
      </c>
      <c r="B20" s="144" t="s">
        <v>1331</v>
      </c>
      <c r="C20" s="144" t="s">
        <v>1333</v>
      </c>
      <c r="D20" s="144" t="s">
        <v>1334</v>
      </c>
    </row>
    <row r="21" spans="1:4" ht="52" customHeight="1" x14ac:dyDescent="0.35">
      <c r="A21" s="143" t="s">
        <v>1303</v>
      </c>
      <c r="B21" s="143" t="s">
        <v>1304</v>
      </c>
      <c r="C21" s="143" t="s">
        <v>1335</v>
      </c>
      <c r="D21" s="143" t="s">
        <v>1336</v>
      </c>
    </row>
    <row r="22" spans="1:4" ht="39" customHeight="1" x14ac:dyDescent="0.35">
      <c r="A22" s="144" t="s">
        <v>1337</v>
      </c>
      <c r="B22" s="144" t="s">
        <v>1308</v>
      </c>
      <c r="C22" s="144" t="s">
        <v>1338</v>
      </c>
      <c r="D22" s="144" t="s">
        <v>1339</v>
      </c>
    </row>
    <row r="23" spans="1:4" ht="52" customHeight="1" x14ac:dyDescent="0.35">
      <c r="A23" s="143" t="s">
        <v>1311</v>
      </c>
      <c r="B23" s="143" t="s">
        <v>1304</v>
      </c>
      <c r="C23" s="143" t="s">
        <v>1340</v>
      </c>
      <c r="D23" s="143"/>
    </row>
    <row r="24" spans="1:4" ht="39" customHeight="1" x14ac:dyDescent="0.35">
      <c r="A24" s="144" t="s">
        <v>1315</v>
      </c>
      <c r="B24" s="144" t="s">
        <v>1304</v>
      </c>
      <c r="C24" s="144" t="s">
        <v>1341</v>
      </c>
      <c r="D24" s="144"/>
    </row>
    <row r="25" spans="1:4" ht="52" customHeight="1" x14ac:dyDescent="0.35">
      <c r="A25" s="143" t="s">
        <v>1320</v>
      </c>
      <c r="B25" s="143" t="s">
        <v>1342</v>
      </c>
      <c r="C25" s="143" t="s">
        <v>1343</v>
      </c>
      <c r="D25" s="143"/>
    </row>
    <row r="26" spans="1:4" ht="39" customHeight="1" x14ac:dyDescent="0.35">
      <c r="A26" s="144" t="s">
        <v>1324</v>
      </c>
      <c r="B26" s="144" t="s">
        <v>1325</v>
      </c>
      <c r="C26" s="144" t="s">
        <v>1344</v>
      </c>
      <c r="D26" s="144"/>
    </row>
    <row r="27" spans="1:4" ht="39" customHeight="1" x14ac:dyDescent="0.35">
      <c r="A27" s="143" t="s">
        <v>1328</v>
      </c>
      <c r="B27" s="143" t="s">
        <v>1331</v>
      </c>
      <c r="C27" s="143" t="s">
        <v>1345</v>
      </c>
      <c r="D27" s="143"/>
    </row>
    <row r="28" spans="1:4" x14ac:dyDescent="0.35">
      <c r="A28" s="141"/>
      <c r="B28" s="141"/>
      <c r="C28" s="141"/>
      <c r="D28" s="141"/>
    </row>
    <row r="29" spans="1:4" x14ac:dyDescent="0.35">
      <c r="A29" s="295" t="s">
        <v>1346</v>
      </c>
      <c r="B29" s="182"/>
      <c r="C29" s="182"/>
      <c r="D29" s="182"/>
    </row>
    <row r="30" spans="1:4" x14ac:dyDescent="0.35">
      <c r="A30" s="142" t="s">
        <v>1295</v>
      </c>
      <c r="B30" s="142" t="s">
        <v>1296</v>
      </c>
      <c r="C30" s="142" t="s">
        <v>253</v>
      </c>
      <c r="D30" s="142" t="s">
        <v>3</v>
      </c>
    </row>
    <row r="31" spans="1:4" ht="26" customHeight="1" x14ac:dyDescent="0.35">
      <c r="A31" s="143" t="s">
        <v>1297</v>
      </c>
      <c r="B31" s="143" t="s">
        <v>1347</v>
      </c>
      <c r="C31" s="143" t="s">
        <v>1348</v>
      </c>
      <c r="D31" s="143"/>
    </row>
    <row r="32" spans="1:4" ht="39" customHeight="1" x14ac:dyDescent="0.35">
      <c r="A32" s="144" t="s">
        <v>1300</v>
      </c>
      <c r="B32" s="144" t="s">
        <v>1347</v>
      </c>
      <c r="C32" s="144" t="s">
        <v>1349</v>
      </c>
      <c r="D32" s="144" t="s">
        <v>1350</v>
      </c>
    </row>
    <row r="33" spans="1:4" ht="52" customHeight="1" x14ac:dyDescent="0.35">
      <c r="A33" s="143" t="s">
        <v>1351</v>
      </c>
      <c r="B33" s="143" t="s">
        <v>1352</v>
      </c>
      <c r="C33" s="143" t="s">
        <v>1353</v>
      </c>
      <c r="D33" s="143"/>
    </row>
    <row r="34" spans="1:4" ht="52" customHeight="1" x14ac:dyDescent="0.35">
      <c r="A34" s="144" t="s">
        <v>1354</v>
      </c>
      <c r="B34" s="144" t="s">
        <v>1355</v>
      </c>
      <c r="C34" s="144" t="s">
        <v>1356</v>
      </c>
      <c r="D34" s="144" t="s">
        <v>1357</v>
      </c>
    </row>
    <row r="35" spans="1:4" ht="52" customHeight="1" x14ac:dyDescent="0.35">
      <c r="A35" s="143" t="s">
        <v>1358</v>
      </c>
      <c r="B35" s="143" t="s">
        <v>1359</v>
      </c>
      <c r="C35" s="143" t="s">
        <v>1360</v>
      </c>
      <c r="D35" s="143" t="s">
        <v>1361</v>
      </c>
    </row>
    <row r="36" spans="1:4" ht="39" customHeight="1" x14ac:dyDescent="0.35">
      <c r="A36" s="144" t="s">
        <v>1362</v>
      </c>
      <c r="B36" s="144" t="s">
        <v>1363</v>
      </c>
      <c r="C36" s="144" t="s">
        <v>1364</v>
      </c>
      <c r="D36" s="144"/>
    </row>
    <row r="37" spans="1:4" ht="39" customHeight="1" x14ac:dyDescent="0.35">
      <c r="A37" s="143" t="s">
        <v>1365</v>
      </c>
      <c r="B37" s="143" t="s">
        <v>1366</v>
      </c>
      <c r="C37" s="143" t="s">
        <v>1367</v>
      </c>
      <c r="D37" s="143" t="s">
        <v>1368</v>
      </c>
    </row>
    <row r="38" spans="1:4" ht="39" customHeight="1" x14ac:dyDescent="0.35">
      <c r="A38" s="144" t="s">
        <v>1369</v>
      </c>
      <c r="B38" s="144" t="s">
        <v>1370</v>
      </c>
      <c r="C38" s="144" t="s">
        <v>1371</v>
      </c>
      <c r="D38" s="144"/>
    </row>
    <row r="39" spans="1:4" ht="39" customHeight="1" x14ac:dyDescent="0.35">
      <c r="A39" s="143" t="s">
        <v>1328</v>
      </c>
      <c r="B39" s="143" t="s">
        <v>1363</v>
      </c>
      <c r="C39" s="143" t="s">
        <v>1372</v>
      </c>
      <c r="D39" s="143"/>
    </row>
    <row r="40" spans="1:4" x14ac:dyDescent="0.35">
      <c r="A40" s="141"/>
      <c r="B40" s="141"/>
      <c r="C40" s="141"/>
      <c r="D40" s="141"/>
    </row>
    <row r="41" spans="1:4" x14ac:dyDescent="0.35">
      <c r="A41" s="295" t="s">
        <v>1373</v>
      </c>
      <c r="B41" s="182"/>
      <c r="C41" s="182"/>
      <c r="D41" s="182"/>
    </row>
    <row r="42" spans="1:4" x14ac:dyDescent="0.35">
      <c r="A42" s="142" t="s">
        <v>1295</v>
      </c>
      <c r="B42" s="142" t="s">
        <v>1296</v>
      </c>
      <c r="C42" s="142" t="s">
        <v>253</v>
      </c>
      <c r="D42" s="142" t="s">
        <v>3</v>
      </c>
    </row>
    <row r="43" spans="1:4" ht="26" customHeight="1" x14ac:dyDescent="0.35">
      <c r="A43" s="143" t="s">
        <v>1297</v>
      </c>
      <c r="B43" s="143" t="s">
        <v>1374</v>
      </c>
      <c r="C43" s="143" t="s">
        <v>1375</v>
      </c>
      <c r="D43" s="143"/>
    </row>
    <row r="44" spans="1:4" ht="39" customHeight="1" x14ac:dyDescent="0.35">
      <c r="A44" s="144" t="s">
        <v>1300</v>
      </c>
      <c r="B44" s="144" t="s">
        <v>1374</v>
      </c>
      <c r="C44" s="144" t="s">
        <v>1376</v>
      </c>
      <c r="D44" s="144" t="s">
        <v>1377</v>
      </c>
    </row>
    <row r="45" spans="1:4" ht="39" customHeight="1" x14ac:dyDescent="0.35">
      <c r="A45" s="143" t="s">
        <v>1378</v>
      </c>
      <c r="B45" s="143" t="s">
        <v>1379</v>
      </c>
      <c r="C45" s="143" t="s">
        <v>1380</v>
      </c>
      <c r="D45" s="143" t="s">
        <v>1381</v>
      </c>
    </row>
    <row r="46" spans="1:4" ht="52" customHeight="1" x14ac:dyDescent="0.35">
      <c r="A46" s="144" t="s">
        <v>1382</v>
      </c>
      <c r="B46" s="144" t="s">
        <v>1383</v>
      </c>
      <c r="C46" s="144" t="s">
        <v>1384</v>
      </c>
      <c r="D46" s="144"/>
    </row>
    <row r="47" spans="1:4" ht="39" customHeight="1" x14ac:dyDescent="0.35">
      <c r="A47" s="143" t="s">
        <v>1328</v>
      </c>
      <c r="B47" s="143" t="s">
        <v>1385</v>
      </c>
      <c r="C47" s="143" t="s">
        <v>1386</v>
      </c>
      <c r="D47" s="143"/>
    </row>
    <row r="48" spans="1:4" x14ac:dyDescent="0.35">
      <c r="A48" s="141"/>
      <c r="B48" s="141"/>
      <c r="C48" s="141"/>
      <c r="D48" s="141"/>
    </row>
    <row r="49" spans="1:4" x14ac:dyDescent="0.35">
      <c r="A49" s="295" t="s">
        <v>1387</v>
      </c>
      <c r="B49" s="182"/>
      <c r="C49" s="182"/>
      <c r="D49" s="182"/>
    </row>
    <row r="50" spans="1:4" x14ac:dyDescent="0.35">
      <c r="A50" s="142" t="s">
        <v>1295</v>
      </c>
      <c r="B50" s="142" t="s">
        <v>1296</v>
      </c>
      <c r="C50" s="142" t="s">
        <v>253</v>
      </c>
      <c r="D50" s="142" t="s">
        <v>3</v>
      </c>
    </row>
    <row r="51" spans="1:4" ht="26" customHeight="1" x14ac:dyDescent="0.35">
      <c r="A51" s="143" t="s">
        <v>1388</v>
      </c>
      <c r="B51" s="143" t="s">
        <v>1389</v>
      </c>
      <c r="C51" s="143" t="s">
        <v>1390</v>
      </c>
      <c r="D51" s="143" t="s">
        <v>1391</v>
      </c>
    </row>
    <row r="52" spans="1:4" ht="26" customHeight="1" x14ac:dyDescent="0.35">
      <c r="A52" s="144" t="s">
        <v>1392</v>
      </c>
      <c r="B52" s="144" t="s">
        <v>1393</v>
      </c>
      <c r="C52" s="144" t="s">
        <v>1394</v>
      </c>
      <c r="D52" s="144" t="s">
        <v>1395</v>
      </c>
    </row>
    <row r="53" spans="1:4" ht="39" customHeight="1" x14ac:dyDescent="0.35">
      <c r="A53" s="143" t="s">
        <v>1396</v>
      </c>
      <c r="B53" s="143" t="s">
        <v>1397</v>
      </c>
      <c r="C53" s="143" t="s">
        <v>1398</v>
      </c>
      <c r="D53" s="143" t="s">
        <v>2652</v>
      </c>
    </row>
    <row r="54" spans="1:4" ht="39" customHeight="1" x14ac:dyDescent="0.35">
      <c r="A54" s="144" t="s">
        <v>1399</v>
      </c>
      <c r="B54" s="144" t="s">
        <v>1400</v>
      </c>
      <c r="C54" s="144" t="s">
        <v>1398</v>
      </c>
      <c r="D54" s="144" t="s">
        <v>2653</v>
      </c>
    </row>
    <row r="55" spans="1:4" ht="39" customHeight="1" x14ac:dyDescent="0.35">
      <c r="A55" s="143" t="s">
        <v>1401</v>
      </c>
      <c r="B55" s="143" t="s">
        <v>1220</v>
      </c>
      <c r="C55" s="143" t="s">
        <v>1402</v>
      </c>
      <c r="D55" s="143"/>
    </row>
    <row r="56" spans="1:4" x14ac:dyDescent="0.35">
      <c r="A56" s="145" t="s">
        <v>2654</v>
      </c>
      <c r="B56" s="145"/>
      <c r="C56" s="145"/>
      <c r="D56" s="145"/>
    </row>
    <row r="57" spans="1:4" x14ac:dyDescent="0.35">
      <c r="A57" s="295" t="s">
        <v>2655</v>
      </c>
      <c r="B57" s="296"/>
      <c r="C57" s="296"/>
      <c r="D57" s="296"/>
    </row>
    <row r="58" spans="1:4" ht="39" x14ac:dyDescent="0.35">
      <c r="A58" s="142" t="s">
        <v>2656</v>
      </c>
      <c r="B58" s="142" t="s">
        <v>2657</v>
      </c>
      <c r="C58" s="142" t="s">
        <v>2658</v>
      </c>
      <c r="D58" s="142" t="s">
        <v>2659</v>
      </c>
    </row>
    <row r="59" spans="1:4" ht="26" customHeight="1" x14ac:dyDescent="0.35">
      <c r="A59" s="143" t="s">
        <v>2660</v>
      </c>
      <c r="B59" s="143" t="s">
        <v>2661</v>
      </c>
      <c r="C59" s="143" t="s">
        <v>2662</v>
      </c>
      <c r="D59" s="143" t="s">
        <v>2663</v>
      </c>
    </row>
    <row r="60" spans="1:4" ht="26" customHeight="1" x14ac:dyDescent="0.35">
      <c r="A60" s="144" t="s">
        <v>2660</v>
      </c>
      <c r="B60" s="144" t="s">
        <v>1328</v>
      </c>
      <c r="C60" s="144" t="s">
        <v>1402</v>
      </c>
      <c r="D60" s="144" t="s">
        <v>2664</v>
      </c>
    </row>
    <row r="61" spans="1:4" ht="39" x14ac:dyDescent="0.35">
      <c r="A61" s="143" t="s">
        <v>2665</v>
      </c>
      <c r="B61" s="143" t="s">
        <v>2657</v>
      </c>
      <c r="C61" s="143" t="s">
        <v>2666</v>
      </c>
      <c r="D61" s="143"/>
    </row>
    <row r="62" spans="1:4" ht="39" x14ac:dyDescent="0.35">
      <c r="A62" s="144" t="s">
        <v>2667</v>
      </c>
      <c r="B62" s="144" t="s">
        <v>2661</v>
      </c>
      <c r="C62" s="144" t="s">
        <v>2668</v>
      </c>
      <c r="D62" s="144" t="s">
        <v>2669</v>
      </c>
    </row>
    <row r="63" spans="1:4" ht="26" customHeight="1" x14ac:dyDescent="0.35">
      <c r="A63" s="143" t="s">
        <v>2667</v>
      </c>
      <c r="B63" s="143" t="s">
        <v>1328</v>
      </c>
      <c r="C63" s="143" t="s">
        <v>2670</v>
      </c>
      <c r="D63" s="143"/>
    </row>
    <row r="64" spans="1:4" ht="26" customHeight="1" x14ac:dyDescent="0.35">
      <c r="A64" s="144" t="s">
        <v>2671</v>
      </c>
      <c r="B64" s="144" t="s">
        <v>2657</v>
      </c>
      <c r="C64" s="144" t="s">
        <v>2672</v>
      </c>
      <c r="D64" s="144"/>
    </row>
    <row r="65" spans="1:4" ht="26" customHeight="1" x14ac:dyDescent="0.35">
      <c r="A65" s="143" t="s">
        <v>2673</v>
      </c>
      <c r="B65" s="143" t="s">
        <v>2661</v>
      </c>
      <c r="C65" s="143" t="s">
        <v>2674</v>
      </c>
      <c r="D65" s="143" t="s">
        <v>2675</v>
      </c>
    </row>
    <row r="66" spans="1:4" ht="26" customHeight="1" x14ac:dyDescent="0.35">
      <c r="A66" s="144" t="s">
        <v>2673</v>
      </c>
      <c r="B66" s="144" t="s">
        <v>1328</v>
      </c>
      <c r="C66" s="144" t="s">
        <v>2670</v>
      </c>
      <c r="D66" s="144"/>
    </row>
    <row r="67" spans="1:4" ht="39" x14ac:dyDescent="0.35">
      <c r="A67" s="143" t="s">
        <v>2676</v>
      </c>
      <c r="B67" s="143" t="s">
        <v>2657</v>
      </c>
      <c r="C67" s="143" t="s">
        <v>2677</v>
      </c>
      <c r="D67" s="143"/>
    </row>
    <row r="68" spans="1:4" ht="65" x14ac:dyDescent="0.35">
      <c r="A68" s="144" t="s">
        <v>2678</v>
      </c>
      <c r="B68" s="144" t="s">
        <v>2661</v>
      </c>
      <c r="C68" s="144" t="s">
        <v>2679</v>
      </c>
      <c r="D68" s="144" t="s">
        <v>2680</v>
      </c>
    </row>
    <row r="69" spans="1:4" x14ac:dyDescent="0.35">
      <c r="A69" s="143" t="s">
        <v>2678</v>
      </c>
      <c r="B69" s="143" t="s">
        <v>1328</v>
      </c>
      <c r="C69" s="143" t="s">
        <v>2670</v>
      </c>
      <c r="D69" s="143"/>
    </row>
    <row r="70" spans="1:4" ht="39" x14ac:dyDescent="0.35">
      <c r="A70" s="144" t="s">
        <v>2681</v>
      </c>
      <c r="B70" s="144" t="s">
        <v>2657</v>
      </c>
      <c r="C70" s="144" t="s">
        <v>2682</v>
      </c>
      <c r="D70" s="144"/>
    </row>
    <row r="71" spans="1:4" ht="26" customHeight="1" x14ac:dyDescent="0.35">
      <c r="A71" s="143" t="s">
        <v>2683</v>
      </c>
      <c r="B71" s="143" t="s">
        <v>2661</v>
      </c>
      <c r="C71" s="143" t="s">
        <v>2684</v>
      </c>
      <c r="D71" s="143" t="s">
        <v>2680</v>
      </c>
    </row>
    <row r="72" spans="1:4" x14ac:dyDescent="0.35">
      <c r="A72" s="144" t="s">
        <v>2683</v>
      </c>
      <c r="B72" s="144" t="s">
        <v>1328</v>
      </c>
      <c r="C72" s="144" t="s">
        <v>2670</v>
      </c>
      <c r="D72" s="144"/>
    </row>
    <row r="73" spans="1:4" x14ac:dyDescent="0.35">
      <c r="A73" s="143"/>
      <c r="B73" s="143"/>
      <c r="C73" s="143"/>
      <c r="D73" s="143"/>
    </row>
    <row r="74" spans="1:4" ht="39" x14ac:dyDescent="0.35">
      <c r="A74" s="146" t="s">
        <v>2685</v>
      </c>
      <c r="B74" s="146"/>
      <c r="C74" s="146"/>
      <c r="D74" s="146"/>
    </row>
    <row r="75" spans="1:4" ht="26" customHeight="1" x14ac:dyDescent="0.35">
      <c r="A75" s="147" t="s">
        <v>37</v>
      </c>
      <c r="B75" s="147" t="s">
        <v>2580</v>
      </c>
      <c r="C75" s="147" t="s">
        <v>2686</v>
      </c>
      <c r="D75" s="147" t="s">
        <v>3</v>
      </c>
    </row>
    <row r="76" spans="1:4" ht="65" x14ac:dyDescent="0.35">
      <c r="A76" s="144" t="s">
        <v>2687</v>
      </c>
      <c r="B76" s="144" t="s">
        <v>2688</v>
      </c>
      <c r="C76" s="144" t="s">
        <v>2689</v>
      </c>
      <c r="D76" s="144" t="s">
        <v>2690</v>
      </c>
    </row>
    <row r="77" spans="1:4" ht="65" x14ac:dyDescent="0.35">
      <c r="A77" s="143" t="s">
        <v>2691</v>
      </c>
      <c r="B77" s="143" t="s">
        <v>2692</v>
      </c>
      <c r="C77" s="143" t="s">
        <v>2693</v>
      </c>
      <c r="D77" s="143" t="s">
        <v>2694</v>
      </c>
    </row>
    <row r="78" spans="1:4" x14ac:dyDescent="0.35">
      <c r="A78" t="s">
        <v>2695</v>
      </c>
      <c r="B78" t="s">
        <v>2696</v>
      </c>
      <c r="C78" t="s">
        <v>2697</v>
      </c>
      <c r="D78" t="s">
        <v>2698</v>
      </c>
    </row>
  </sheetData>
  <mergeCells count="7">
    <mergeCell ref="A1:D1"/>
    <mergeCell ref="A17:D17"/>
    <mergeCell ref="A3:D3"/>
    <mergeCell ref="A29:D29"/>
    <mergeCell ref="A57:D57"/>
    <mergeCell ref="A41:D41"/>
    <mergeCell ref="A49:D49"/>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election sqref="A1:D1"/>
    </sheetView>
  </sheetViews>
  <sheetFormatPr defaultRowHeight="14.5" x14ac:dyDescent="0.35"/>
  <cols>
    <col min="1" max="1" width="28" customWidth="1"/>
    <col min="2" max="2" width="40" customWidth="1"/>
    <col min="3" max="5" width="38" customWidth="1"/>
  </cols>
  <sheetData>
    <row r="1" spans="1:4" ht="20" customHeight="1" x14ac:dyDescent="0.35">
      <c r="A1" s="297" t="s">
        <v>0</v>
      </c>
      <c r="B1" s="182"/>
      <c r="C1" s="182"/>
      <c r="D1" s="182"/>
    </row>
    <row r="2" spans="1:4" ht="18" customHeight="1" x14ac:dyDescent="0.35">
      <c r="A2" s="84" t="s">
        <v>1</v>
      </c>
      <c r="B2" s="84" t="s">
        <v>2</v>
      </c>
      <c r="C2" s="84" t="s">
        <v>3</v>
      </c>
      <c r="D2" s="84" t="s">
        <v>4</v>
      </c>
    </row>
    <row r="3" spans="1:4" ht="30" customHeight="1" x14ac:dyDescent="0.35">
      <c r="A3" s="85" t="s">
        <v>5</v>
      </c>
      <c r="B3" s="85" t="s">
        <v>6</v>
      </c>
      <c r="C3" s="85" t="s">
        <v>7</v>
      </c>
      <c r="D3" s="85" t="s">
        <v>4</v>
      </c>
    </row>
    <row r="4" spans="1:4" ht="30" customHeight="1" x14ac:dyDescent="0.35">
      <c r="A4" s="86" t="s">
        <v>8</v>
      </c>
      <c r="B4" s="86" t="s">
        <v>9</v>
      </c>
      <c r="C4" s="86" t="s">
        <v>10</v>
      </c>
      <c r="D4" s="86" t="s">
        <v>4</v>
      </c>
    </row>
    <row r="5" spans="1:4" ht="30" customHeight="1" x14ac:dyDescent="0.35">
      <c r="A5" s="85" t="s">
        <v>11</v>
      </c>
      <c r="B5" s="85" t="s">
        <v>12</v>
      </c>
      <c r="C5" s="85" t="s">
        <v>13</v>
      </c>
      <c r="D5" s="85" t="s">
        <v>4</v>
      </c>
    </row>
    <row r="6" spans="1:4" ht="30" customHeight="1" x14ac:dyDescent="0.35">
      <c r="A6" s="86" t="s">
        <v>14</v>
      </c>
      <c r="B6" s="86" t="s">
        <v>15</v>
      </c>
      <c r="C6" s="86" t="s">
        <v>16</v>
      </c>
      <c r="D6" s="86" t="s">
        <v>4</v>
      </c>
    </row>
    <row r="7" spans="1:4" ht="30" customHeight="1" x14ac:dyDescent="0.35">
      <c r="A7" s="85" t="s">
        <v>17</v>
      </c>
      <c r="B7" s="85" t="s">
        <v>18</v>
      </c>
      <c r="C7" s="85" t="s">
        <v>19</v>
      </c>
      <c r="D7" s="85" t="s">
        <v>4</v>
      </c>
    </row>
    <row r="9" spans="1:4" ht="20" customHeight="1" x14ac:dyDescent="0.35">
      <c r="A9" s="297" t="s">
        <v>20</v>
      </c>
      <c r="B9" s="182"/>
      <c r="C9" s="182"/>
      <c r="D9" s="182"/>
    </row>
    <row r="10" spans="1:4" ht="18" customHeight="1" x14ac:dyDescent="0.35">
      <c r="A10" s="84" t="s">
        <v>21</v>
      </c>
      <c r="B10" s="84" t="s">
        <v>22</v>
      </c>
      <c r="C10" s="84" t="s">
        <v>23</v>
      </c>
      <c r="D10" s="84" t="s">
        <v>24</v>
      </c>
    </row>
    <row r="11" spans="1:4" ht="30" customHeight="1" x14ac:dyDescent="0.35">
      <c r="A11" s="85" t="s">
        <v>25</v>
      </c>
      <c r="B11" s="85" t="s">
        <v>26</v>
      </c>
      <c r="C11" s="85" t="s">
        <v>27</v>
      </c>
      <c r="D11" s="85" t="s">
        <v>28</v>
      </c>
    </row>
    <row r="12" spans="1:4" ht="30" customHeight="1" x14ac:dyDescent="0.35">
      <c r="A12" s="86" t="s">
        <v>29</v>
      </c>
      <c r="B12" s="86" t="s">
        <v>30</v>
      </c>
      <c r="C12" s="86" t="s">
        <v>31</v>
      </c>
      <c r="D12" s="86" t="s">
        <v>32</v>
      </c>
    </row>
    <row r="13" spans="1:4" ht="30" customHeight="1" x14ac:dyDescent="0.35">
      <c r="A13" s="85" t="s">
        <v>33</v>
      </c>
      <c r="B13" s="85" t="s">
        <v>34</v>
      </c>
      <c r="C13" s="85" t="s">
        <v>34</v>
      </c>
      <c r="D13" s="85" t="s">
        <v>35</v>
      </c>
    </row>
    <row r="15" spans="1:4" ht="20" customHeight="1" x14ac:dyDescent="0.35">
      <c r="A15" s="297" t="s">
        <v>36</v>
      </c>
      <c r="B15" s="182"/>
      <c r="C15" s="182"/>
      <c r="D15" s="182"/>
    </row>
    <row r="16" spans="1:4" ht="18" customHeight="1" x14ac:dyDescent="0.35">
      <c r="A16" s="84" t="s">
        <v>37</v>
      </c>
      <c r="B16" s="84" t="s">
        <v>38</v>
      </c>
      <c r="C16" s="84" t="s">
        <v>2</v>
      </c>
      <c r="D16" s="84" t="s">
        <v>39</v>
      </c>
    </row>
    <row r="17" spans="1:4" ht="30" customHeight="1" x14ac:dyDescent="0.35">
      <c r="A17" s="85" t="s">
        <v>40</v>
      </c>
      <c r="B17" s="85" t="s">
        <v>41</v>
      </c>
      <c r="C17" s="85" t="s">
        <v>42</v>
      </c>
      <c r="D17" s="85" t="s">
        <v>43</v>
      </c>
    </row>
    <row r="18" spans="1:4" ht="30" customHeight="1" x14ac:dyDescent="0.35">
      <c r="A18" s="86" t="s">
        <v>44</v>
      </c>
      <c r="B18" s="86" t="s">
        <v>45</v>
      </c>
      <c r="C18" s="86" t="s">
        <v>46</v>
      </c>
      <c r="D18" s="86" t="s">
        <v>47</v>
      </c>
    </row>
    <row r="19" spans="1:4" ht="30" customHeight="1" x14ac:dyDescent="0.35">
      <c r="A19" s="85" t="s">
        <v>48</v>
      </c>
      <c r="B19" s="85" t="s">
        <v>49</v>
      </c>
      <c r="C19" s="85" t="s">
        <v>50</v>
      </c>
      <c r="D19" s="85" t="s">
        <v>51</v>
      </c>
    </row>
    <row r="20" spans="1:4" ht="30" customHeight="1" x14ac:dyDescent="0.35">
      <c r="A20" s="86" t="s">
        <v>52</v>
      </c>
      <c r="B20" s="86" t="s">
        <v>4</v>
      </c>
      <c r="C20" s="86" t="s">
        <v>53</v>
      </c>
      <c r="D20" s="86" t="s">
        <v>4</v>
      </c>
    </row>
    <row r="22" spans="1:4" ht="20" customHeight="1" x14ac:dyDescent="0.35">
      <c r="A22" s="297" t="s">
        <v>54</v>
      </c>
      <c r="B22" s="182"/>
      <c r="C22" s="182"/>
      <c r="D22" s="182"/>
    </row>
    <row r="23" spans="1:4" ht="18" customHeight="1" x14ac:dyDescent="0.35">
      <c r="A23" s="84" t="s">
        <v>37</v>
      </c>
      <c r="B23" s="84" t="s">
        <v>38</v>
      </c>
      <c r="C23" s="84" t="s">
        <v>2</v>
      </c>
      <c r="D23" s="84" t="s">
        <v>55</v>
      </c>
    </row>
    <row r="24" spans="1:4" ht="30" customHeight="1" x14ac:dyDescent="0.35">
      <c r="A24" s="85" t="s">
        <v>40</v>
      </c>
      <c r="B24" s="85" t="s">
        <v>41</v>
      </c>
      <c r="C24" s="85" t="s">
        <v>56</v>
      </c>
      <c r="D24" s="85" t="s">
        <v>57</v>
      </c>
    </row>
    <row r="25" spans="1:4" ht="30" customHeight="1" x14ac:dyDescent="0.35">
      <c r="A25" s="86" t="s">
        <v>44</v>
      </c>
      <c r="B25" s="86" t="s">
        <v>45</v>
      </c>
      <c r="C25" s="86" t="s">
        <v>58</v>
      </c>
      <c r="D25" s="86" t="s">
        <v>59</v>
      </c>
    </row>
    <row r="26" spans="1:4" ht="30" customHeight="1" x14ac:dyDescent="0.35">
      <c r="A26" s="85" t="s">
        <v>48</v>
      </c>
      <c r="B26" s="85" t="s">
        <v>49</v>
      </c>
      <c r="C26" s="85" t="s">
        <v>60</v>
      </c>
      <c r="D26" s="85" t="s">
        <v>61</v>
      </c>
    </row>
    <row r="27" spans="1:4" ht="30" customHeight="1" x14ac:dyDescent="0.35">
      <c r="A27" s="86" t="s">
        <v>52</v>
      </c>
      <c r="B27" s="86" t="s">
        <v>4</v>
      </c>
      <c r="C27" s="86" t="s">
        <v>53</v>
      </c>
      <c r="D27" s="86" t="s">
        <v>4</v>
      </c>
    </row>
    <row r="29" spans="1:4" ht="20" customHeight="1" x14ac:dyDescent="0.35">
      <c r="A29" s="297" t="s">
        <v>62</v>
      </c>
      <c r="B29" s="182"/>
      <c r="C29" s="182"/>
      <c r="D29" s="182"/>
    </row>
    <row r="30" spans="1:4" ht="18" customHeight="1" x14ac:dyDescent="0.35">
      <c r="A30" s="84" t="s">
        <v>1</v>
      </c>
      <c r="B30" s="84" t="s">
        <v>63</v>
      </c>
      <c r="C30" s="84" t="s">
        <v>64</v>
      </c>
      <c r="D30" s="84" t="s">
        <v>3</v>
      </c>
    </row>
    <row r="31" spans="1:4" ht="30" customHeight="1" x14ac:dyDescent="0.35">
      <c r="A31" s="85" t="s">
        <v>65</v>
      </c>
      <c r="B31" s="85" t="s">
        <v>66</v>
      </c>
      <c r="C31" s="85" t="s">
        <v>67</v>
      </c>
      <c r="D31" s="85" t="s">
        <v>68</v>
      </c>
    </row>
    <row r="32" spans="1:4" ht="30" customHeight="1" x14ac:dyDescent="0.35">
      <c r="A32" s="86" t="s">
        <v>69</v>
      </c>
      <c r="B32" s="86" t="s">
        <v>70</v>
      </c>
      <c r="C32" s="86" t="s">
        <v>71</v>
      </c>
      <c r="D32" s="86" t="s">
        <v>72</v>
      </c>
    </row>
    <row r="33" spans="1:4" ht="30" customHeight="1" x14ac:dyDescent="0.35">
      <c r="A33" s="85" t="s">
        <v>73</v>
      </c>
      <c r="B33" s="85" t="s">
        <v>74</v>
      </c>
      <c r="C33" s="85" t="s">
        <v>75</v>
      </c>
      <c r="D33" s="85" t="s">
        <v>76</v>
      </c>
    </row>
    <row r="34" spans="1:4" ht="30" customHeight="1" x14ac:dyDescent="0.35">
      <c r="A34" s="86" t="s">
        <v>77</v>
      </c>
      <c r="B34" s="86" t="s">
        <v>78</v>
      </c>
      <c r="C34" s="86" t="s">
        <v>79</v>
      </c>
      <c r="D34" s="86" t="s">
        <v>80</v>
      </c>
    </row>
    <row r="35" spans="1:4" ht="30" customHeight="1" x14ac:dyDescent="0.35">
      <c r="A35" s="85" t="s">
        <v>81</v>
      </c>
      <c r="B35" s="85" t="s">
        <v>82</v>
      </c>
      <c r="C35" s="85" t="s">
        <v>83</v>
      </c>
      <c r="D35" s="85" t="s">
        <v>84</v>
      </c>
    </row>
    <row r="36" spans="1:4" ht="30" customHeight="1" x14ac:dyDescent="0.35">
      <c r="A36" s="86" t="s">
        <v>85</v>
      </c>
      <c r="B36" s="86" t="s">
        <v>86</v>
      </c>
      <c r="C36" s="86" t="s">
        <v>87</v>
      </c>
      <c r="D36" s="86" t="s">
        <v>84</v>
      </c>
    </row>
    <row r="37" spans="1:4" ht="30" customHeight="1" x14ac:dyDescent="0.35">
      <c r="A37" s="85" t="s">
        <v>88</v>
      </c>
      <c r="B37" s="85" t="s">
        <v>89</v>
      </c>
      <c r="C37" s="85" t="s">
        <v>90</v>
      </c>
      <c r="D37" s="85" t="s">
        <v>91</v>
      </c>
    </row>
    <row r="38" spans="1:4" ht="30" customHeight="1" x14ac:dyDescent="0.35">
      <c r="A38" s="86" t="s">
        <v>41</v>
      </c>
      <c r="B38" s="86" t="s">
        <v>92</v>
      </c>
      <c r="C38" s="86" t="s">
        <v>4</v>
      </c>
      <c r="D38" s="86" t="s">
        <v>93</v>
      </c>
    </row>
    <row r="39" spans="1:4" ht="30" customHeight="1" x14ac:dyDescent="0.35">
      <c r="A39" s="85" t="s">
        <v>45</v>
      </c>
      <c r="B39" s="85" t="s">
        <v>94</v>
      </c>
      <c r="C39" s="85" t="s">
        <v>4</v>
      </c>
      <c r="D39" s="85" t="s">
        <v>95</v>
      </c>
    </row>
    <row r="41" spans="1:4" ht="20" customHeight="1" x14ac:dyDescent="0.35">
      <c r="A41" s="297" t="s">
        <v>96</v>
      </c>
      <c r="B41" s="182"/>
      <c r="C41" s="182"/>
      <c r="D41" s="182"/>
    </row>
    <row r="42" spans="1:4" ht="18" customHeight="1" x14ac:dyDescent="0.35">
      <c r="A42" s="84" t="s">
        <v>97</v>
      </c>
      <c r="B42" s="84" t="s">
        <v>98</v>
      </c>
      <c r="C42" s="84" t="s">
        <v>2</v>
      </c>
      <c r="D42" s="84" t="s">
        <v>3</v>
      </c>
    </row>
    <row r="43" spans="1:4" ht="30" customHeight="1" x14ac:dyDescent="0.35">
      <c r="A43" s="85" t="s">
        <v>99</v>
      </c>
      <c r="B43" s="85" t="s">
        <v>100</v>
      </c>
      <c r="C43" s="85" t="s">
        <v>101</v>
      </c>
      <c r="D43" s="85" t="s">
        <v>102</v>
      </c>
    </row>
    <row r="44" spans="1:4" ht="30" customHeight="1" x14ac:dyDescent="0.35">
      <c r="A44" s="86" t="s">
        <v>103</v>
      </c>
      <c r="B44" s="86" t="s">
        <v>100</v>
      </c>
      <c r="C44" s="86" t="s">
        <v>104</v>
      </c>
      <c r="D44" s="86" t="s">
        <v>105</v>
      </c>
    </row>
    <row r="45" spans="1:4" ht="30" customHeight="1" x14ac:dyDescent="0.35">
      <c r="A45" s="85" t="s">
        <v>106</v>
      </c>
      <c r="B45" s="85" t="s">
        <v>107</v>
      </c>
      <c r="C45" s="85" t="s">
        <v>108</v>
      </c>
      <c r="D45" s="85" t="s">
        <v>109</v>
      </c>
    </row>
    <row r="46" spans="1:4" ht="30" customHeight="1" x14ac:dyDescent="0.35">
      <c r="A46" s="86" t="s">
        <v>110</v>
      </c>
      <c r="B46" s="86" t="s">
        <v>111</v>
      </c>
      <c r="C46" s="86" t="s">
        <v>108</v>
      </c>
      <c r="D46" s="86" t="s">
        <v>109</v>
      </c>
    </row>
    <row r="47" spans="1:4" ht="30" customHeight="1" x14ac:dyDescent="0.35">
      <c r="A47" s="85" t="s">
        <v>112</v>
      </c>
      <c r="B47" s="85" t="s">
        <v>25</v>
      </c>
      <c r="C47" s="85" t="s">
        <v>113</v>
      </c>
      <c r="D47" s="85" t="s">
        <v>114</v>
      </c>
    </row>
    <row r="49" spans="1:5" ht="20" customHeight="1" x14ac:dyDescent="0.35">
      <c r="A49" s="297" t="s">
        <v>115</v>
      </c>
      <c r="B49" s="182"/>
      <c r="C49" s="182"/>
      <c r="D49" s="182"/>
      <c r="E49" s="182"/>
    </row>
    <row r="50" spans="1:5" ht="18" customHeight="1" x14ac:dyDescent="0.35">
      <c r="A50" s="84" t="s">
        <v>116</v>
      </c>
      <c r="B50" s="84" t="s">
        <v>8</v>
      </c>
      <c r="C50" s="84" t="s">
        <v>11</v>
      </c>
      <c r="D50" s="84" t="s">
        <v>117</v>
      </c>
    </row>
    <row r="51" spans="1:5" ht="30" customHeight="1" x14ac:dyDescent="0.35">
      <c r="A51" s="85" t="s">
        <v>118</v>
      </c>
      <c r="B51" s="85" t="s">
        <v>119</v>
      </c>
      <c r="C51" s="85" t="s">
        <v>120</v>
      </c>
      <c r="D51" s="85" t="s">
        <v>121</v>
      </c>
      <c r="E51" s="85" t="s">
        <v>122</v>
      </c>
    </row>
    <row r="52" spans="1:5" ht="30" customHeight="1" x14ac:dyDescent="0.35">
      <c r="A52" s="86" t="s">
        <v>123</v>
      </c>
      <c r="B52" s="86" t="s">
        <v>124</v>
      </c>
      <c r="C52" s="86" t="s">
        <v>125</v>
      </c>
      <c r="D52" s="86" t="s">
        <v>126</v>
      </c>
      <c r="E52" s="86" t="s">
        <v>127</v>
      </c>
    </row>
    <row r="53" spans="1:5" ht="30" customHeight="1" x14ac:dyDescent="0.35">
      <c r="A53" s="85" t="s">
        <v>128</v>
      </c>
      <c r="B53" s="85" t="s">
        <v>129</v>
      </c>
      <c r="C53" s="85" t="s">
        <v>130</v>
      </c>
      <c r="D53" s="85" t="s">
        <v>131</v>
      </c>
      <c r="E53" s="85" t="s">
        <v>132</v>
      </c>
    </row>
    <row r="54" spans="1:5" ht="30" customHeight="1" x14ac:dyDescent="0.35">
      <c r="A54" s="86" t="s">
        <v>133</v>
      </c>
      <c r="B54" s="86" t="s">
        <v>134</v>
      </c>
      <c r="C54" s="86" t="s">
        <v>135</v>
      </c>
      <c r="D54" s="86" t="s">
        <v>136</v>
      </c>
      <c r="E54" s="86" t="s">
        <v>137</v>
      </c>
    </row>
    <row r="55" spans="1:5" ht="30" customHeight="1" x14ac:dyDescent="0.35">
      <c r="A55" s="85" t="s">
        <v>138</v>
      </c>
      <c r="B55" s="85" t="s">
        <v>139</v>
      </c>
      <c r="C55" s="85" t="s">
        <v>140</v>
      </c>
      <c r="D55" s="85" t="s">
        <v>141</v>
      </c>
      <c r="E55" s="85" t="s">
        <v>142</v>
      </c>
    </row>
    <row r="56" spans="1:5" ht="30" customHeight="1" x14ac:dyDescent="0.35">
      <c r="A56" s="86" t="s">
        <v>143</v>
      </c>
      <c r="B56" s="86" t="s">
        <v>144</v>
      </c>
      <c r="C56" s="86" t="s">
        <v>145</v>
      </c>
      <c r="D56" s="86" t="s">
        <v>146</v>
      </c>
      <c r="E56" s="86" t="s">
        <v>147</v>
      </c>
    </row>
    <row r="58" spans="1:5" ht="20" customHeight="1" x14ac:dyDescent="0.35">
      <c r="A58" s="297" t="s">
        <v>148</v>
      </c>
      <c r="B58" s="182"/>
      <c r="C58" s="182"/>
      <c r="D58" s="182"/>
    </row>
    <row r="59" spans="1:5" ht="18" customHeight="1" x14ac:dyDescent="0.35">
      <c r="A59" s="84" t="s">
        <v>149</v>
      </c>
      <c r="B59" s="84" t="s">
        <v>150</v>
      </c>
      <c r="C59" s="84" t="s">
        <v>151</v>
      </c>
      <c r="D59" s="84" t="s">
        <v>3</v>
      </c>
    </row>
    <row r="60" spans="1:5" ht="30" customHeight="1" x14ac:dyDescent="0.35">
      <c r="A60" s="85" t="s">
        <v>152</v>
      </c>
      <c r="B60" s="85" t="s">
        <v>153</v>
      </c>
      <c r="C60" s="85" t="s">
        <v>154</v>
      </c>
      <c r="D60" s="85" t="s">
        <v>155</v>
      </c>
    </row>
    <row r="61" spans="1:5" ht="30" customHeight="1" x14ac:dyDescent="0.35">
      <c r="A61" s="86" t="s">
        <v>156</v>
      </c>
      <c r="B61" s="86" t="s">
        <v>157</v>
      </c>
      <c r="C61" s="86" t="s">
        <v>158</v>
      </c>
      <c r="D61" s="86" t="s">
        <v>159</v>
      </c>
    </row>
    <row r="62" spans="1:5" ht="30" customHeight="1" x14ac:dyDescent="0.35">
      <c r="A62" s="85" t="s">
        <v>160</v>
      </c>
      <c r="B62" s="85" t="s">
        <v>161</v>
      </c>
      <c r="C62" s="85" t="s">
        <v>162</v>
      </c>
      <c r="D62" s="85" t="s">
        <v>163</v>
      </c>
    </row>
    <row r="63" spans="1:5" ht="30" customHeight="1" x14ac:dyDescent="0.35">
      <c r="A63" s="86" t="s">
        <v>164</v>
      </c>
      <c r="B63" s="86" t="s">
        <v>165</v>
      </c>
      <c r="C63" s="86" t="s">
        <v>166</v>
      </c>
      <c r="D63" s="86" t="s">
        <v>167</v>
      </c>
    </row>
    <row r="64" spans="1:5" ht="30" customHeight="1" x14ac:dyDescent="0.35">
      <c r="A64" s="85" t="s">
        <v>118</v>
      </c>
      <c r="B64" s="85" t="s">
        <v>168</v>
      </c>
      <c r="C64" s="85" t="s">
        <v>169</v>
      </c>
      <c r="D64" s="85" t="s">
        <v>170</v>
      </c>
    </row>
    <row r="66" spans="1:4" ht="20" customHeight="1" x14ac:dyDescent="0.35">
      <c r="A66" s="297" t="s">
        <v>171</v>
      </c>
      <c r="B66" s="182"/>
      <c r="C66" s="182"/>
      <c r="D66" s="182"/>
    </row>
    <row r="67" spans="1:4" ht="18" customHeight="1" x14ac:dyDescent="0.35">
      <c r="A67" s="84" t="s">
        <v>172</v>
      </c>
      <c r="B67" s="84" t="s">
        <v>150</v>
      </c>
      <c r="C67" s="84" t="s">
        <v>173</v>
      </c>
      <c r="D67" s="84" t="s">
        <v>3</v>
      </c>
    </row>
    <row r="68" spans="1:4" ht="30" customHeight="1" x14ac:dyDescent="0.35">
      <c r="A68" s="85" t="s">
        <v>174</v>
      </c>
      <c r="B68" s="85" t="s">
        <v>175</v>
      </c>
      <c r="C68" s="85" t="s">
        <v>176</v>
      </c>
      <c r="D68" s="85" t="s">
        <v>177</v>
      </c>
    </row>
    <row r="69" spans="1:4" ht="30" customHeight="1" x14ac:dyDescent="0.35">
      <c r="A69" s="86" t="s">
        <v>178</v>
      </c>
      <c r="B69" s="86" t="s">
        <v>179</v>
      </c>
      <c r="C69" s="86" t="s">
        <v>180</v>
      </c>
      <c r="D69" s="86" t="s">
        <v>181</v>
      </c>
    </row>
    <row r="70" spans="1:4" ht="30" customHeight="1" x14ac:dyDescent="0.35">
      <c r="A70" s="85" t="s">
        <v>182</v>
      </c>
      <c r="B70" s="85" t="s">
        <v>183</v>
      </c>
      <c r="C70" s="85" t="s">
        <v>4</v>
      </c>
      <c r="D70" s="85" t="s">
        <v>184</v>
      </c>
    </row>
  </sheetData>
  <mergeCells count="9">
    <mergeCell ref="A66:D66"/>
    <mergeCell ref="A1:D1"/>
    <mergeCell ref="A9:D9"/>
    <mergeCell ref="A58:D58"/>
    <mergeCell ref="A22:D22"/>
    <mergeCell ref="A49:E49"/>
    <mergeCell ref="A29:D29"/>
    <mergeCell ref="A15:D15"/>
    <mergeCell ref="A41:D4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9"/>
  <sheetViews>
    <sheetView workbookViewId="0">
      <selection sqref="A1:F1"/>
    </sheetView>
  </sheetViews>
  <sheetFormatPr defaultRowHeight="14.5" x14ac:dyDescent="0.35"/>
  <cols>
    <col min="1" max="1" width="22" customWidth="1"/>
    <col min="2" max="2" width="20" customWidth="1"/>
    <col min="3" max="3" width="26" customWidth="1"/>
    <col min="4" max="5" width="30" customWidth="1"/>
    <col min="6" max="6" width="34" customWidth="1"/>
  </cols>
  <sheetData>
    <row r="1" spans="1:6" ht="15" x14ac:dyDescent="0.4">
      <c r="A1" s="298" t="s">
        <v>1403</v>
      </c>
      <c r="B1" s="182"/>
      <c r="C1" s="182"/>
      <c r="D1" s="182"/>
      <c r="E1" s="182"/>
      <c r="F1" s="182"/>
    </row>
    <row r="2" spans="1:6" x14ac:dyDescent="0.35">
      <c r="A2" s="300" t="s">
        <v>1404</v>
      </c>
      <c r="B2" s="182"/>
      <c r="C2" s="182"/>
      <c r="D2" s="182"/>
      <c r="E2" s="182"/>
      <c r="F2" s="182"/>
    </row>
    <row r="3" spans="1:6" ht="8" customHeight="1" x14ac:dyDescent="0.35"/>
    <row r="4" spans="1:6" x14ac:dyDescent="0.35">
      <c r="A4" s="299" t="s">
        <v>1405</v>
      </c>
      <c r="B4" s="182"/>
      <c r="C4" s="182"/>
      <c r="D4" s="182"/>
      <c r="E4" s="182"/>
      <c r="F4" s="182"/>
    </row>
    <row r="5" spans="1:6" x14ac:dyDescent="0.35">
      <c r="A5" s="99" t="s">
        <v>1406</v>
      </c>
      <c r="B5" s="99" t="s">
        <v>190</v>
      </c>
      <c r="C5" s="99" t="s">
        <v>1407</v>
      </c>
      <c r="D5" s="99" t="s">
        <v>1408</v>
      </c>
      <c r="E5" s="99" t="s">
        <v>1409</v>
      </c>
      <c r="F5" s="99" t="s">
        <v>1410</v>
      </c>
    </row>
    <row r="6" spans="1:6" ht="52" customHeight="1" x14ac:dyDescent="0.35">
      <c r="A6" s="100" t="s">
        <v>1411</v>
      </c>
      <c r="B6" s="100" t="s">
        <v>1412</v>
      </c>
      <c r="C6" s="100" t="s">
        <v>1413</v>
      </c>
      <c r="D6" s="100" t="s">
        <v>1414</v>
      </c>
      <c r="E6" s="100" t="s">
        <v>1415</v>
      </c>
      <c r="F6" s="100" t="s">
        <v>1416</v>
      </c>
    </row>
    <row r="7" spans="1:6" ht="52" customHeight="1" x14ac:dyDescent="0.35">
      <c r="A7" s="101" t="s">
        <v>1417</v>
      </c>
      <c r="B7" s="101" t="s">
        <v>1418</v>
      </c>
      <c r="C7" s="101" t="s">
        <v>1419</v>
      </c>
      <c r="D7" s="101" t="s">
        <v>1420</v>
      </c>
      <c r="E7" s="101" t="s">
        <v>1421</v>
      </c>
      <c r="F7" s="101" t="s">
        <v>1422</v>
      </c>
    </row>
    <row r="8" spans="1:6" ht="52" customHeight="1" x14ac:dyDescent="0.35">
      <c r="A8" s="100" t="s">
        <v>1423</v>
      </c>
      <c r="B8" s="100" t="s">
        <v>1424</v>
      </c>
      <c r="C8" s="100" t="s">
        <v>1425</v>
      </c>
      <c r="D8" s="100" t="s">
        <v>1426</v>
      </c>
      <c r="E8" s="100" t="s">
        <v>1427</v>
      </c>
      <c r="F8" s="100" t="s">
        <v>1428</v>
      </c>
    </row>
    <row r="9" spans="1:6" ht="52" customHeight="1" x14ac:dyDescent="0.35">
      <c r="A9" s="101" t="s">
        <v>1429</v>
      </c>
      <c r="B9" s="101" t="s">
        <v>1430</v>
      </c>
      <c r="C9" s="101" t="s">
        <v>1431</v>
      </c>
      <c r="D9" s="101" t="s">
        <v>1432</v>
      </c>
      <c r="E9" s="101" t="s">
        <v>1433</v>
      </c>
      <c r="F9" s="101" t="s">
        <v>1434</v>
      </c>
    </row>
    <row r="10" spans="1:6" ht="10" customHeight="1" x14ac:dyDescent="0.35"/>
    <row r="11" spans="1:6" x14ac:dyDescent="0.35">
      <c r="A11" s="299" t="s">
        <v>1435</v>
      </c>
      <c r="B11" s="182"/>
      <c r="C11" s="182"/>
      <c r="D11" s="182"/>
      <c r="E11" s="182"/>
      <c r="F11" s="182"/>
    </row>
    <row r="12" spans="1:6" x14ac:dyDescent="0.35">
      <c r="A12" s="99" t="s">
        <v>1436</v>
      </c>
      <c r="B12" s="99" t="s">
        <v>1437</v>
      </c>
      <c r="C12" s="99" t="s">
        <v>377</v>
      </c>
      <c r="D12" s="99" t="s">
        <v>378</v>
      </c>
      <c r="E12" s="99" t="s">
        <v>1438</v>
      </c>
      <c r="F12" s="99" t="s">
        <v>1439</v>
      </c>
    </row>
    <row r="13" spans="1:6" ht="42" customHeight="1" x14ac:dyDescent="0.35">
      <c r="A13" s="100" t="s">
        <v>1411</v>
      </c>
      <c r="B13" s="100" t="s">
        <v>1440</v>
      </c>
      <c r="C13" s="100" t="s">
        <v>1441</v>
      </c>
      <c r="D13" s="100" t="s">
        <v>4</v>
      </c>
      <c r="E13" s="100" t="s">
        <v>692</v>
      </c>
      <c r="F13" s="100" t="s">
        <v>1442</v>
      </c>
    </row>
    <row r="14" spans="1:6" ht="42" customHeight="1" x14ac:dyDescent="0.35">
      <c r="A14" s="101" t="s">
        <v>1411</v>
      </c>
      <c r="B14" s="101" t="s">
        <v>1443</v>
      </c>
      <c r="C14" s="101" t="s">
        <v>1444</v>
      </c>
      <c r="D14" s="101" t="s">
        <v>1441</v>
      </c>
      <c r="E14" s="101" t="s">
        <v>1203</v>
      </c>
      <c r="F14" s="101" t="s">
        <v>1445</v>
      </c>
    </row>
    <row r="15" spans="1:6" ht="42" customHeight="1" x14ac:dyDescent="0.35">
      <c r="A15" s="100" t="s">
        <v>1411</v>
      </c>
      <c r="B15" s="100" t="s">
        <v>1446</v>
      </c>
      <c r="C15" s="100" t="s">
        <v>1447</v>
      </c>
      <c r="D15" s="100" t="s">
        <v>1448</v>
      </c>
      <c r="E15" s="100" t="s">
        <v>1203</v>
      </c>
      <c r="F15" s="100" t="s">
        <v>1449</v>
      </c>
    </row>
    <row r="16" spans="1:6" ht="42" customHeight="1" x14ac:dyDescent="0.35">
      <c r="A16" s="101" t="s">
        <v>1450</v>
      </c>
      <c r="B16" s="101" t="s">
        <v>1440</v>
      </c>
      <c r="C16" s="101" t="s">
        <v>1451</v>
      </c>
      <c r="D16" s="101" t="s">
        <v>4</v>
      </c>
      <c r="E16" s="101" t="s">
        <v>692</v>
      </c>
      <c r="F16" s="101" t="s">
        <v>1452</v>
      </c>
    </row>
    <row r="17" spans="1:6" ht="42" customHeight="1" x14ac:dyDescent="0.35">
      <c r="A17" s="100" t="s">
        <v>1450</v>
      </c>
      <c r="B17" s="100" t="s">
        <v>1453</v>
      </c>
      <c r="C17" s="100" t="s">
        <v>1454</v>
      </c>
      <c r="D17" s="100" t="s">
        <v>1455</v>
      </c>
      <c r="E17" s="100" t="s">
        <v>1203</v>
      </c>
      <c r="F17" s="100" t="s">
        <v>1456</v>
      </c>
    </row>
    <row r="18" spans="1:6" ht="42" customHeight="1" x14ac:dyDescent="0.35">
      <c r="A18" s="101" t="s">
        <v>1450</v>
      </c>
      <c r="B18" s="101" t="s">
        <v>1446</v>
      </c>
      <c r="C18" s="101" t="s">
        <v>1457</v>
      </c>
      <c r="D18" s="101" t="s">
        <v>1458</v>
      </c>
      <c r="E18" s="101" t="s">
        <v>1203</v>
      </c>
      <c r="F18" s="101" t="s">
        <v>1459</v>
      </c>
    </row>
    <row r="19" spans="1:6" ht="42" customHeight="1" x14ac:dyDescent="0.35">
      <c r="A19" s="100" t="s">
        <v>1460</v>
      </c>
      <c r="B19" s="100" t="s">
        <v>1440</v>
      </c>
      <c r="C19" s="100" t="s">
        <v>1461</v>
      </c>
      <c r="D19" s="100" t="s">
        <v>4</v>
      </c>
      <c r="E19" s="100" t="s">
        <v>692</v>
      </c>
      <c r="F19" s="100" t="s">
        <v>1462</v>
      </c>
    </row>
    <row r="20" spans="1:6" ht="42" customHeight="1" x14ac:dyDescent="0.35">
      <c r="A20" s="101" t="s">
        <v>1460</v>
      </c>
      <c r="B20" s="101" t="s">
        <v>1443</v>
      </c>
      <c r="C20" s="101" t="s">
        <v>1444</v>
      </c>
      <c r="D20" s="101" t="s">
        <v>1441</v>
      </c>
      <c r="E20" s="101" t="s">
        <v>1203</v>
      </c>
      <c r="F20" s="101" t="s">
        <v>1463</v>
      </c>
    </row>
    <row r="21" spans="1:6" ht="42" customHeight="1" x14ac:dyDescent="0.35">
      <c r="A21" s="100" t="s">
        <v>1460</v>
      </c>
      <c r="B21" s="100" t="s">
        <v>1446</v>
      </c>
      <c r="C21" s="100" t="s">
        <v>1444</v>
      </c>
      <c r="D21" s="100" t="s">
        <v>1464</v>
      </c>
      <c r="E21" s="100" t="s">
        <v>1203</v>
      </c>
      <c r="F21" s="100" t="s">
        <v>1465</v>
      </c>
    </row>
    <row r="22" spans="1:6" ht="42" customHeight="1" x14ac:dyDescent="0.35">
      <c r="A22" s="101" t="s">
        <v>1466</v>
      </c>
      <c r="B22" s="101" t="s">
        <v>1467</v>
      </c>
      <c r="C22" s="101" t="s">
        <v>1468</v>
      </c>
      <c r="D22" s="101" t="s">
        <v>1469</v>
      </c>
      <c r="E22" s="101" t="s">
        <v>1203</v>
      </c>
      <c r="F22" s="101" t="s">
        <v>1470</v>
      </c>
    </row>
    <row r="23" spans="1:6" ht="10" customHeight="1" x14ac:dyDescent="0.35"/>
    <row r="24" spans="1:6" x14ac:dyDescent="0.35">
      <c r="A24" s="299" t="s">
        <v>1471</v>
      </c>
      <c r="B24" s="182"/>
      <c r="C24" s="182"/>
      <c r="D24" s="182"/>
      <c r="E24" s="182"/>
      <c r="F24" s="182"/>
    </row>
    <row r="25" spans="1:6" x14ac:dyDescent="0.35">
      <c r="A25" s="300" t="s">
        <v>1472</v>
      </c>
      <c r="B25" s="182"/>
      <c r="C25" s="182"/>
      <c r="D25" s="182"/>
      <c r="E25" s="182"/>
      <c r="F25" s="182"/>
    </row>
    <row r="26" spans="1:6" x14ac:dyDescent="0.35">
      <c r="A26" s="99" t="s">
        <v>21</v>
      </c>
      <c r="B26" s="99" t="s">
        <v>1473</v>
      </c>
      <c r="C26" s="99" t="s">
        <v>1474</v>
      </c>
      <c r="D26" s="99" t="s">
        <v>1475</v>
      </c>
      <c r="E26" s="99" t="s">
        <v>1476</v>
      </c>
      <c r="F26" s="99"/>
    </row>
    <row r="27" spans="1:6" ht="56" customHeight="1" x14ac:dyDescent="0.35">
      <c r="A27" s="100" t="s">
        <v>1441</v>
      </c>
      <c r="B27" s="100" t="s">
        <v>1477</v>
      </c>
      <c r="C27" s="100" t="s">
        <v>1478</v>
      </c>
      <c r="D27" s="100" t="s">
        <v>1479</v>
      </c>
      <c r="E27" s="100" t="s">
        <v>1480</v>
      </c>
      <c r="F27" s="100"/>
    </row>
    <row r="28" spans="1:6" ht="56" customHeight="1" x14ac:dyDescent="0.35">
      <c r="A28" s="101" t="s">
        <v>1444</v>
      </c>
      <c r="B28" s="101" t="s">
        <v>1481</v>
      </c>
      <c r="C28" s="101" t="s">
        <v>1482</v>
      </c>
      <c r="D28" s="101" t="s">
        <v>1483</v>
      </c>
      <c r="E28" s="101" t="s">
        <v>1484</v>
      </c>
      <c r="F28" s="101"/>
    </row>
    <row r="29" spans="1:6" ht="56" customHeight="1" x14ac:dyDescent="0.35">
      <c r="A29" s="100" t="s">
        <v>1485</v>
      </c>
      <c r="B29" s="100" t="s">
        <v>1486</v>
      </c>
      <c r="C29" s="100" t="s">
        <v>1487</v>
      </c>
      <c r="D29" s="100" t="s">
        <v>1488</v>
      </c>
      <c r="E29" s="100" t="s">
        <v>1489</v>
      </c>
      <c r="F29" s="100"/>
    </row>
    <row r="30" spans="1:6" ht="56" customHeight="1" x14ac:dyDescent="0.35">
      <c r="A30" s="101" t="s">
        <v>1490</v>
      </c>
      <c r="B30" s="101" t="s">
        <v>1491</v>
      </c>
      <c r="C30" s="101" t="s">
        <v>1492</v>
      </c>
      <c r="D30" s="101" t="s">
        <v>1493</v>
      </c>
      <c r="E30" s="101" t="s">
        <v>1494</v>
      </c>
      <c r="F30" s="101"/>
    </row>
    <row r="31" spans="1:6" ht="56" customHeight="1" x14ac:dyDescent="0.35">
      <c r="A31" s="100" t="s">
        <v>1495</v>
      </c>
      <c r="B31" s="100" t="s">
        <v>1496</v>
      </c>
      <c r="C31" s="100" t="s">
        <v>1497</v>
      </c>
      <c r="D31" s="100" t="s">
        <v>1498</v>
      </c>
      <c r="E31" s="100" t="s">
        <v>1499</v>
      </c>
      <c r="F31" s="100"/>
    </row>
    <row r="32" spans="1:6" ht="56" customHeight="1" x14ac:dyDescent="0.35">
      <c r="A32" s="101" t="s">
        <v>1458</v>
      </c>
      <c r="B32" s="101" t="s">
        <v>1500</v>
      </c>
      <c r="C32" s="101" t="s">
        <v>1501</v>
      </c>
      <c r="D32" s="101" t="s">
        <v>1502</v>
      </c>
      <c r="E32" s="101" t="s">
        <v>1503</v>
      </c>
      <c r="F32" s="101"/>
    </row>
    <row r="33" spans="1:6" ht="10" customHeight="1" x14ac:dyDescent="0.35"/>
    <row r="34" spans="1:6" x14ac:dyDescent="0.35">
      <c r="A34" s="299" t="s">
        <v>1504</v>
      </c>
      <c r="B34" s="182"/>
      <c r="C34" s="182"/>
      <c r="D34" s="182"/>
      <c r="E34" s="182"/>
      <c r="F34" s="182"/>
    </row>
    <row r="35" spans="1:6" x14ac:dyDescent="0.35">
      <c r="A35" s="300" t="s">
        <v>1505</v>
      </c>
      <c r="B35" s="182"/>
      <c r="C35" s="182"/>
      <c r="D35" s="182"/>
      <c r="E35" s="182"/>
      <c r="F35" s="182"/>
    </row>
    <row r="36" spans="1:6" x14ac:dyDescent="0.35">
      <c r="A36" s="99" t="s">
        <v>1506</v>
      </c>
      <c r="B36" s="99" t="s">
        <v>1507</v>
      </c>
      <c r="C36" s="99" t="s">
        <v>1408</v>
      </c>
      <c r="D36" s="99" t="s">
        <v>1508</v>
      </c>
      <c r="E36" s="99" t="s">
        <v>918</v>
      </c>
      <c r="F36" s="99"/>
    </row>
    <row r="37" spans="1:6" ht="64" customHeight="1" x14ac:dyDescent="0.35">
      <c r="A37" s="100" t="s">
        <v>1509</v>
      </c>
      <c r="B37" s="100" t="s">
        <v>1510</v>
      </c>
      <c r="C37" s="100" t="s">
        <v>1511</v>
      </c>
      <c r="D37" s="100" t="s">
        <v>1512</v>
      </c>
      <c r="E37" s="100" t="s">
        <v>1513</v>
      </c>
      <c r="F37" s="100"/>
    </row>
    <row r="38" spans="1:6" ht="64" customHeight="1" x14ac:dyDescent="0.35">
      <c r="A38" s="101" t="s">
        <v>1514</v>
      </c>
      <c r="B38" s="101" t="s">
        <v>1515</v>
      </c>
      <c r="C38" s="101" t="s">
        <v>1516</v>
      </c>
      <c r="D38" s="101" t="s">
        <v>1517</v>
      </c>
      <c r="E38" s="101" t="s">
        <v>1518</v>
      </c>
      <c r="F38" s="101"/>
    </row>
    <row r="39" spans="1:6" ht="44" customHeight="1" x14ac:dyDescent="0.35">
      <c r="A39" s="301" t="s">
        <v>1519</v>
      </c>
      <c r="B39" s="182"/>
      <c r="C39" s="182"/>
      <c r="D39" s="182"/>
      <c r="E39" s="182"/>
      <c r="F39" s="182"/>
    </row>
  </sheetData>
  <mergeCells count="9">
    <mergeCell ref="A1:F1"/>
    <mergeCell ref="A34:F34"/>
    <mergeCell ref="A35:F35"/>
    <mergeCell ref="A4:F4"/>
    <mergeCell ref="A39:F39"/>
    <mergeCell ref="A25:F25"/>
    <mergeCell ref="A24:F24"/>
    <mergeCell ref="A2:F2"/>
    <mergeCell ref="A11:F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CLAUDE</vt:lpstr>
      <vt:lpstr>Terminology Reference</vt:lpstr>
      <vt:lpstr>SCREEN 3 — R2.B TENSION</vt:lpstr>
      <vt:lpstr>SCREEN 3 — R2.A AUTHORED COPY</vt:lpstr>
      <vt:lpstr>SCREEN 3 — COPY STRINGS</vt:lpstr>
      <vt:lpstr>SCREEN 2 — LANDING-AWARE L1</vt:lpstr>
      <vt:lpstr>SCREEN 2 — SHAPE+DATUM COMBOS</vt:lpstr>
      <vt:lpstr>SCREEN 2 — DATUM DRAG MATRIX</vt:lpstr>
      <vt:lpstr>SCREEN 1 — ML DIRECTION MATRIX</vt:lpstr>
      <vt:lpstr>Screen 2 Tension</vt:lpstr>
      <vt:lpstr>Screen 2 Constrait</vt:lpstr>
      <vt:lpstr>Screen 2 Ratio</vt:lpstr>
      <vt:lpstr>README</vt:lpstr>
      <vt:lpstr>BASE — ABUNDANT</vt:lpstr>
      <vt:lpstr>BASE — GROUNDED</vt:lpstr>
      <vt:lpstr>BASE — EXPANSIVE</vt:lpstr>
      <vt:lpstr>BASE — STRETCHED</vt:lpstr>
      <vt:lpstr>BASE — OVEREXTENDED</vt:lpstr>
      <vt:lpstr>PINNED — OVEREXTENDED</vt:lpstr>
      <vt:lpstr>PINNED — ABUNDANT</vt:lpstr>
      <vt:lpstr>PINNED — GROUNDED</vt:lpstr>
      <vt:lpstr>PINNED — EXPANSIVE</vt:lpstr>
      <vt:lpstr>PINNED — STRETCHED</vt:lpstr>
      <vt:lpstr>MULTI-LEVER PATTERNS</vt:lpstr>
      <vt:lpstr>LEVER MATH</vt:lpstr>
      <vt:lpstr>DESIGN — FEASIBILITY RULES</vt:lpstr>
      <vt:lpstr>DESIGN — COPY BLOCKS</vt:lpstr>
      <vt:lpstr>DESIGN — INVERSE MATH</vt:lpstr>
      <vt:lpstr>DESIGN — REVERSAL MATRIX</vt:lpstr>
      <vt:lpstr>grounded_header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Merced</cp:lastModifiedBy>
  <dcterms:created xsi:type="dcterms:W3CDTF">2026-05-18T17:42:10Z</dcterms:created>
  <dcterms:modified xsi:type="dcterms:W3CDTF">2026-05-26T00:29:20Z</dcterms:modified>
</cp:coreProperties>
</file>